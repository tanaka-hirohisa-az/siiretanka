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xl/_rels/workbook.xml.rels" ContentType="application/vnd.openxmlformats-package.relationship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_目次" sheetId="1" state="visible" r:id="rId3"/>
    <sheet name="1_部材値上がり_BEE" sheetId="2" state="visible" r:id="rId4"/>
    <sheet name="2_部材値上がり_BEI" sheetId="3" state="visible" r:id="rId5"/>
    <sheet name="3_製品値上げ_BEE" sheetId="4" state="visible" r:id="rId6"/>
    <sheet name="4_製品値上げ_BEI" sheetId="5" state="visible" r:id="rId7"/>
    <sheet name="5_今後の値上予定_BEE" sheetId="6" state="visible" r:id="rId8"/>
    <sheet name="6_今後の値上予定_BEI" sheetId="7" state="visible" r:id="rId9"/>
    <sheet name="7_利益率_BEE" sheetId="8" state="visible" r:id="rId10"/>
    <sheet name="8_利益ワースト20_BEE" sheetId="9" state="visible" r:id="rId11"/>
    <sheet name="9_利益率_BEI"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<sst xmlns="http://schemas.openxmlformats.org/spreadsheetml/2006/main" count="8892" uniqueCount="3196">
  <si>
    <r>
      <rPr>
        <b val="true"/>
        <sz val="13"/>
        <color rgb="FF1F3864"/>
        <rFont val="Arial"/>
        <family val="0"/>
        <charset val="1"/>
      </rPr>
      <t xml:space="preserve">BEE / BEI</t>
    </r>
    <r>
      <rPr>
        <b val="true"/>
        <sz val="13"/>
        <color rgb="FF1F3864"/>
        <rFont val="Noto Sans CJK SC"/>
        <family val="2"/>
      </rPr>
      <t xml:space="preserve">　部材・製品 値上げ状況　資料一覧</t>
    </r>
  </si>
  <si>
    <r>
      <rPr>
        <i val="true"/>
        <sz val="8.5"/>
        <color rgb="FF666666"/>
        <rFont val="Noto Sans CJK SC"/>
        <family val="2"/>
      </rPr>
      <t xml:space="preserve">会社（</t>
    </r>
    <r>
      <rPr>
        <i val="true"/>
        <sz val="8.5"/>
        <color rgb="FF666666"/>
        <rFont val="Arial"/>
        <family val="0"/>
        <charset val="1"/>
      </rPr>
      <t xml:space="preserve">BEE=TB</t>
    </r>
    <r>
      <rPr>
        <i val="true"/>
        <sz val="8.5"/>
        <color rgb="FF666666"/>
        <rFont val="Noto Sans CJK SC"/>
        <family val="2"/>
      </rPr>
      <t xml:space="preserve">播州電装</t>
    </r>
    <r>
      <rPr>
        <i val="true"/>
        <sz val="8.5"/>
        <color rgb="FF666666"/>
        <rFont val="Arial"/>
        <family val="0"/>
        <charset val="1"/>
      </rPr>
      <t xml:space="preserve">/</t>
    </r>
    <r>
      <rPr>
        <i val="true"/>
        <sz val="8.5"/>
        <color rgb="FF666666"/>
        <rFont val="Noto Sans CJK SC"/>
        <family val="2"/>
      </rPr>
      <t xml:space="preserve">日本、</t>
    </r>
    <r>
      <rPr>
        <i val="true"/>
        <sz val="8.5"/>
        <color rgb="FF666666"/>
        <rFont val="Arial"/>
        <family val="0"/>
        <charset val="1"/>
      </rPr>
      <t xml:space="preserve">BEI=PT.Banshu Electric Indonesia/</t>
    </r>
    <r>
      <rPr>
        <i val="true"/>
        <sz val="8.5"/>
        <color rgb="FF666666"/>
        <rFont val="Noto Sans CJK SC"/>
        <family val="2"/>
      </rPr>
      <t xml:space="preserve">インドネシア）ごとにシートを分けています。セグメント区分（二輪／</t>
    </r>
    <r>
      <rPr>
        <i val="true"/>
        <sz val="8.5"/>
        <color rgb="FF666666"/>
        <rFont val="Arial"/>
        <family val="0"/>
        <charset val="1"/>
      </rPr>
      <t xml:space="preserve">HE</t>
    </r>
    <r>
      <rPr>
        <i val="true"/>
        <sz val="8.5"/>
        <color rgb="FF666666"/>
        <rFont val="Noto Sans CJK SC"/>
        <family val="2"/>
      </rPr>
      <t xml:space="preserve">国内／</t>
    </r>
    <r>
      <rPr>
        <i val="true"/>
        <sz val="8.5"/>
        <color rgb="FF666666"/>
        <rFont val="Arial"/>
        <family val="0"/>
        <charset val="1"/>
      </rPr>
      <t xml:space="preserve">HE</t>
    </r>
    <r>
      <rPr>
        <i val="true"/>
        <sz val="8.5"/>
        <color rgb="FF666666"/>
        <rFont val="Noto Sans CJK SC"/>
        <family val="2"/>
      </rPr>
      <t xml:space="preserve">輸出）は</t>
    </r>
    <r>
      <rPr>
        <i val="true"/>
        <sz val="8.5"/>
        <color rgb="FF666666"/>
        <rFont val="Arial"/>
        <family val="0"/>
        <charset val="1"/>
      </rPr>
      <t xml:space="preserve">BEI</t>
    </r>
    <r>
      <rPr>
        <i val="true"/>
        <sz val="8.5"/>
        <color rgb="FF666666"/>
        <rFont val="Noto Sans CJK SC"/>
        <family val="2"/>
      </rPr>
      <t xml:space="preserve">のみ判明しているため、</t>
    </r>
    <r>
      <rPr>
        <i val="true"/>
        <sz val="8.5"/>
        <color rgb="FF666666"/>
        <rFont val="Arial"/>
        <family val="0"/>
        <charset val="1"/>
      </rPr>
      <t xml:space="preserve">BEI</t>
    </r>
    <r>
      <rPr>
        <i val="true"/>
        <sz val="8.5"/>
        <color rgb="FF666666"/>
        <rFont val="Noto Sans CJK SC"/>
        <family val="2"/>
      </rPr>
      <t xml:space="preserve">のシートにのみ記載しています。</t>
    </r>
    <r>
      <rPr>
        <i val="true"/>
        <sz val="8.5"/>
        <color rgb="FF666666"/>
        <rFont val="Arial"/>
        <family val="0"/>
        <charset val="1"/>
      </rPr>
      <t xml:space="preserve">BEE</t>
    </r>
    <r>
      <rPr>
        <i val="true"/>
        <sz val="8.5"/>
        <color rgb="FF666666"/>
        <rFont val="Noto Sans CJK SC"/>
        <family val="2"/>
      </rPr>
      <t xml:space="preserve">は通貨</t>
    </r>
    <r>
      <rPr>
        <i val="true"/>
        <sz val="8.5"/>
        <color rgb="FF666666"/>
        <rFont val="Arial"/>
        <family val="0"/>
        <charset val="1"/>
      </rPr>
      <t xml:space="preserve">JPY</t>
    </r>
    <r>
      <rPr>
        <i val="true"/>
        <sz val="8.5"/>
        <color rgb="FF666666"/>
        <rFont val="Noto Sans CJK SC"/>
        <family val="2"/>
      </rPr>
      <t xml:space="preserve">・百万円、</t>
    </r>
    <r>
      <rPr>
        <i val="true"/>
        <sz val="8.5"/>
        <color rgb="FF666666"/>
        <rFont val="Arial"/>
        <family val="0"/>
        <charset val="1"/>
      </rPr>
      <t xml:space="preserve">BEI</t>
    </r>
    <r>
      <rPr>
        <i val="true"/>
        <sz val="8.5"/>
        <color rgb="FF666666"/>
        <rFont val="Noto Sans CJK SC"/>
        <family val="2"/>
      </rPr>
      <t xml:space="preserve">は通貨</t>
    </r>
    <r>
      <rPr>
        <i val="true"/>
        <sz val="8.5"/>
        <color rgb="FF666666"/>
        <rFont val="Arial"/>
        <family val="0"/>
        <charset val="1"/>
      </rPr>
      <t xml:space="preserve">IDR</t>
    </r>
    <r>
      <rPr>
        <i val="true"/>
        <sz val="8.5"/>
        <color rgb="FF666666"/>
        <rFont val="Noto Sans CJK SC"/>
        <family val="2"/>
      </rPr>
      <t xml:space="preserve">・百万</t>
    </r>
    <r>
      <rPr>
        <i val="true"/>
        <sz val="8.5"/>
        <color rgb="FF666666"/>
        <rFont val="Arial"/>
        <family val="0"/>
        <charset val="1"/>
      </rPr>
      <t xml:space="preserve">IDR</t>
    </r>
    <r>
      <rPr>
        <i val="true"/>
        <sz val="8.5"/>
        <color rgb="FF666666"/>
        <rFont val="Noto Sans CJK SC"/>
        <family val="2"/>
      </rPr>
      <t xml:space="preserve">である点にご注意ください。</t>
    </r>
    <r>
      <rPr>
        <i val="true"/>
        <sz val="8.5"/>
        <color rgb="FF666666"/>
        <rFont val="Arial"/>
        <family val="0"/>
        <charset val="1"/>
      </rPr>
      <t xml:space="preserve">8</t>
    </r>
    <r>
      <rPr>
        <i val="true"/>
        <sz val="8.5"/>
        <color rgb="FF666666"/>
        <rFont val="Noto Sans CJK SC"/>
        <family val="2"/>
      </rPr>
      <t xml:space="preserve">月は情報が確定していないため、</t>
    </r>
    <r>
      <rPr>
        <i val="true"/>
        <sz val="8.5"/>
        <color rgb="FF666666"/>
        <rFont val="Arial"/>
        <family val="0"/>
        <charset val="1"/>
      </rPr>
      <t xml:space="preserve">BEE</t>
    </r>
    <r>
      <rPr>
        <i val="true"/>
        <sz val="8.5"/>
        <color rgb="FF666666"/>
        <rFont val="Noto Sans CJK SC"/>
        <family val="2"/>
      </rPr>
      <t xml:space="preserve">・</t>
    </r>
    <r>
      <rPr>
        <i val="true"/>
        <sz val="8.5"/>
        <color rgb="FF666666"/>
        <rFont val="Arial"/>
        <family val="0"/>
        <charset val="1"/>
      </rPr>
      <t xml:space="preserve">BEI</t>
    </r>
    <r>
      <rPr>
        <i val="true"/>
        <sz val="8.5"/>
        <color rgb="FF666666"/>
        <rFont val="Noto Sans CJK SC"/>
        <family val="2"/>
      </rPr>
      <t xml:space="preserve">ともに</t>
    </r>
    <r>
      <rPr>
        <i val="true"/>
        <sz val="8.5"/>
        <color rgb="FF666666"/>
        <rFont val="Arial"/>
        <family val="0"/>
        <charset val="1"/>
      </rPr>
      <t xml:space="preserve">2026</t>
    </r>
    <r>
      <rPr>
        <i val="true"/>
        <sz val="8.5"/>
        <color rgb="FF666666"/>
        <rFont val="Noto Sans CJK SC"/>
        <family val="2"/>
      </rPr>
      <t xml:space="preserve">年</t>
    </r>
    <r>
      <rPr>
        <i val="true"/>
        <sz val="8.5"/>
        <color rgb="FF666666"/>
        <rFont val="Arial"/>
        <family val="0"/>
        <charset val="1"/>
      </rPr>
      <t xml:space="preserve">1</t>
    </r>
    <r>
      <rPr>
        <i val="true"/>
        <sz val="8.5"/>
        <color rgb="FF666666"/>
        <rFont val="Noto Sans CJK SC"/>
        <family val="2"/>
      </rPr>
      <t xml:space="preserve">〜</t>
    </r>
    <r>
      <rPr>
        <i val="true"/>
        <sz val="8.5"/>
        <color rgb="FF666666"/>
        <rFont val="Arial"/>
        <family val="0"/>
        <charset val="1"/>
      </rPr>
      <t xml:space="preserve">7</t>
    </r>
    <r>
      <rPr>
        <i val="true"/>
        <sz val="8.5"/>
        <color rgb="FF666666"/>
        <rFont val="Noto Sans CJK SC"/>
        <family val="2"/>
      </rPr>
      <t xml:space="preserve">月（</t>
    </r>
    <r>
      <rPr>
        <i val="true"/>
        <sz val="8.5"/>
        <color rgb="FF666666"/>
        <rFont val="Arial"/>
        <family val="0"/>
        <charset val="1"/>
      </rPr>
      <t xml:space="preserve">7</t>
    </r>
    <r>
      <rPr>
        <i val="true"/>
        <sz val="8.5"/>
        <color rgb="FF666666"/>
        <rFont val="Noto Sans CJK SC"/>
        <family val="2"/>
      </rPr>
      <t xml:space="preserve">月末時点）で集計しています。</t>
    </r>
  </si>
  <si>
    <r>
      <rPr>
        <b val="true"/>
        <sz val="10"/>
        <color rgb="FF1F3864"/>
        <rFont val="Arial"/>
        <family val="0"/>
        <charset val="1"/>
      </rPr>
      <t xml:space="preserve">1_</t>
    </r>
    <r>
      <rPr>
        <b val="true"/>
        <sz val="10"/>
        <color rgb="FF1F3864"/>
        <rFont val="Noto Sans CJK SC"/>
        <family val="2"/>
      </rPr>
      <t xml:space="preserve">部材値上がり</t>
    </r>
    <r>
      <rPr>
        <b val="true"/>
        <sz val="10"/>
        <color rgb="FF1F3864"/>
        <rFont val="Arial"/>
        <family val="0"/>
        <charset val="1"/>
      </rPr>
      <t xml:space="preserve">_BEE</t>
    </r>
  </si>
  <si>
    <r>
      <rPr>
        <sz val="10"/>
        <rFont val="Noto Sans CJK SC"/>
        <family val="2"/>
      </rPr>
      <t xml:space="preserve">部材（材料）月別値上げ・値下げ状況　電線区分別・仕入先別（</t>
    </r>
    <r>
      <rPr>
        <sz val="10"/>
        <rFont val="Arial"/>
        <family val="0"/>
        <charset val="1"/>
      </rPr>
      <t xml:space="preserve">1</t>
    </r>
    <r>
      <rPr>
        <sz val="10"/>
        <rFont val="Noto Sans CJK SC"/>
        <family val="2"/>
      </rPr>
      <t xml:space="preserve">〜</t>
    </r>
    <r>
      <rPr>
        <sz val="10"/>
        <rFont val="Arial"/>
        <family val="0"/>
        <charset val="1"/>
      </rPr>
      <t xml:space="preserve">7</t>
    </r>
    <r>
      <rPr>
        <sz val="10"/>
        <rFont val="Noto Sans CJK SC"/>
        <family val="2"/>
      </rPr>
      <t xml:space="preserve">月）</t>
    </r>
  </si>
  <si>
    <r>
      <rPr>
        <b val="true"/>
        <sz val="10"/>
        <color rgb="FF1F3864"/>
        <rFont val="Arial"/>
        <family val="0"/>
        <charset val="1"/>
      </rPr>
      <t xml:space="preserve">2_</t>
    </r>
    <r>
      <rPr>
        <b val="true"/>
        <sz val="10"/>
        <color rgb="FF1F3864"/>
        <rFont val="Noto Sans CJK SC"/>
        <family val="2"/>
      </rPr>
      <t xml:space="preserve">部材値上がり</t>
    </r>
    <r>
      <rPr>
        <b val="true"/>
        <sz val="10"/>
        <color rgb="FF1F3864"/>
        <rFont val="Arial"/>
        <family val="0"/>
        <charset val="1"/>
      </rPr>
      <t xml:space="preserve">_BEI</t>
    </r>
  </si>
  <si>
    <r>
      <rPr>
        <sz val="10"/>
        <rFont val="Noto Sans CJK SC"/>
        <family val="2"/>
      </rPr>
      <t xml:space="preserve">部材（材料）月別値上げ・値下げ状況　セグメント</t>
    </r>
    <r>
      <rPr>
        <sz val="10"/>
        <rFont val="Arial"/>
        <family val="0"/>
        <charset val="1"/>
      </rPr>
      <t xml:space="preserve">×</t>
    </r>
    <r>
      <rPr>
        <sz val="10"/>
        <rFont val="Noto Sans CJK SC"/>
        <family val="2"/>
      </rPr>
      <t xml:space="preserve">電線区分別・仕入先別（</t>
    </r>
    <r>
      <rPr>
        <sz val="10"/>
        <rFont val="Arial"/>
        <family val="0"/>
        <charset val="1"/>
      </rPr>
      <t xml:space="preserve">1</t>
    </r>
    <r>
      <rPr>
        <sz val="10"/>
        <rFont val="Noto Sans CJK SC"/>
        <family val="2"/>
      </rPr>
      <t xml:space="preserve">〜</t>
    </r>
    <r>
      <rPr>
        <sz val="10"/>
        <rFont val="Arial"/>
        <family val="0"/>
        <charset val="1"/>
      </rPr>
      <t xml:space="preserve">7</t>
    </r>
    <r>
      <rPr>
        <sz val="10"/>
        <rFont val="Noto Sans CJK SC"/>
        <family val="2"/>
      </rPr>
      <t xml:space="preserve">月）</t>
    </r>
  </si>
  <si>
    <r>
      <rPr>
        <b val="true"/>
        <sz val="10"/>
        <color rgb="FF1F3864"/>
        <rFont val="Arial"/>
        <family val="0"/>
        <charset val="1"/>
      </rPr>
      <t xml:space="preserve">3_</t>
    </r>
    <r>
      <rPr>
        <b val="true"/>
        <sz val="10"/>
        <color rgb="FF1F3864"/>
        <rFont val="Noto Sans CJK SC"/>
        <family val="2"/>
      </rPr>
      <t xml:space="preserve">製品値上げ</t>
    </r>
    <r>
      <rPr>
        <b val="true"/>
        <sz val="10"/>
        <color rgb="FF1F3864"/>
        <rFont val="Arial"/>
        <family val="0"/>
        <charset val="1"/>
      </rPr>
      <t xml:space="preserve">_BEE</t>
    </r>
  </si>
  <si>
    <r>
      <rPr>
        <sz val="10"/>
        <rFont val="Noto Sans CJK SC"/>
        <family val="2"/>
      </rPr>
      <t xml:space="preserve">製品への価格転嫁　月別状況　得意先区分別（</t>
    </r>
    <r>
      <rPr>
        <sz val="10"/>
        <rFont val="Arial"/>
        <family val="0"/>
        <charset val="1"/>
      </rPr>
      <t xml:space="preserve">1</t>
    </r>
    <r>
      <rPr>
        <sz val="10"/>
        <rFont val="Noto Sans CJK SC"/>
        <family val="2"/>
      </rPr>
      <t xml:space="preserve">〜</t>
    </r>
    <r>
      <rPr>
        <sz val="10"/>
        <rFont val="Arial"/>
        <family val="0"/>
        <charset val="1"/>
      </rPr>
      <t xml:space="preserve">7</t>
    </r>
    <r>
      <rPr>
        <sz val="10"/>
        <rFont val="Noto Sans CJK SC"/>
        <family val="2"/>
      </rPr>
      <t xml:space="preserve">月）</t>
    </r>
  </si>
  <si>
    <r>
      <rPr>
        <b val="true"/>
        <sz val="10"/>
        <color rgb="FF1F3864"/>
        <rFont val="Arial"/>
        <family val="0"/>
        <charset val="1"/>
      </rPr>
      <t xml:space="preserve">4_</t>
    </r>
    <r>
      <rPr>
        <b val="true"/>
        <sz val="10"/>
        <color rgb="FF1F3864"/>
        <rFont val="Noto Sans CJK SC"/>
        <family val="2"/>
      </rPr>
      <t xml:space="preserve">製品値上げ</t>
    </r>
    <r>
      <rPr>
        <b val="true"/>
        <sz val="10"/>
        <color rgb="FF1F3864"/>
        <rFont val="Arial"/>
        <family val="0"/>
        <charset val="1"/>
      </rPr>
      <t xml:space="preserve">_BEI</t>
    </r>
  </si>
  <si>
    <r>
      <rPr>
        <sz val="10"/>
        <rFont val="Noto Sans CJK SC"/>
        <family val="2"/>
      </rPr>
      <t xml:space="preserve">製品への価格転嫁　月別状況　セグメント別・販売先別（</t>
    </r>
    <r>
      <rPr>
        <sz val="10"/>
        <rFont val="Arial"/>
        <family val="0"/>
        <charset val="1"/>
      </rPr>
      <t xml:space="preserve">1</t>
    </r>
    <r>
      <rPr>
        <sz val="10"/>
        <rFont val="Noto Sans CJK SC"/>
        <family val="2"/>
      </rPr>
      <t xml:space="preserve">〜</t>
    </r>
    <r>
      <rPr>
        <sz val="10"/>
        <rFont val="Arial"/>
        <family val="0"/>
        <charset val="1"/>
      </rPr>
      <t xml:space="preserve">7</t>
    </r>
    <r>
      <rPr>
        <sz val="10"/>
        <rFont val="Noto Sans CJK SC"/>
        <family val="2"/>
      </rPr>
      <t xml:space="preserve">月）</t>
    </r>
  </si>
  <si>
    <r>
      <rPr>
        <b val="true"/>
        <sz val="10"/>
        <color rgb="FF1F3864"/>
        <rFont val="Arial"/>
        <family val="0"/>
        <charset val="1"/>
      </rPr>
      <t xml:space="preserve">5_</t>
    </r>
    <r>
      <rPr>
        <b val="true"/>
        <sz val="10"/>
        <color rgb="FF1F3864"/>
        <rFont val="Noto Sans CJK SC"/>
        <family val="2"/>
      </rPr>
      <t xml:space="preserve">今後の値上予定</t>
    </r>
    <r>
      <rPr>
        <b val="true"/>
        <sz val="10"/>
        <color rgb="FF1F3864"/>
        <rFont val="Arial"/>
        <family val="0"/>
        <charset val="1"/>
      </rPr>
      <t xml:space="preserve">_BEE</t>
    </r>
  </si>
  <si>
    <r>
      <rPr>
        <sz val="10"/>
        <rFont val="Arial"/>
        <family val="0"/>
        <charset val="1"/>
      </rPr>
      <t xml:space="preserve">2026</t>
    </r>
    <r>
      <rPr>
        <sz val="10"/>
        <rFont val="Noto Sans CJK SC"/>
        <family val="2"/>
      </rPr>
      <t xml:space="preserve">年下期（</t>
    </r>
    <r>
      <rPr>
        <sz val="10"/>
        <rFont val="Arial"/>
        <family val="0"/>
        <charset val="1"/>
      </rPr>
      <t xml:space="preserve">10</t>
    </r>
    <r>
      <rPr>
        <sz val="10"/>
        <rFont val="Noto Sans CJK SC"/>
        <family val="2"/>
      </rPr>
      <t xml:space="preserve">月〜</t>
    </r>
    <r>
      <rPr>
        <sz val="10"/>
        <rFont val="Arial"/>
        <family val="0"/>
        <charset val="1"/>
      </rPr>
      <t xml:space="preserve">27</t>
    </r>
    <r>
      <rPr>
        <sz val="10"/>
        <rFont val="Noto Sans CJK SC"/>
        <family val="2"/>
      </rPr>
      <t xml:space="preserve">年</t>
    </r>
    <r>
      <rPr>
        <sz val="10"/>
        <rFont val="Arial"/>
        <family val="0"/>
        <charset val="1"/>
      </rPr>
      <t xml:space="preserve">3</t>
    </r>
    <r>
      <rPr>
        <sz val="10"/>
        <rFont val="Noto Sans CJK SC"/>
        <family val="2"/>
      </rPr>
      <t xml:space="preserve">月）値上げ交渉スケジュール</t>
    </r>
  </si>
  <si>
    <r>
      <rPr>
        <b val="true"/>
        <sz val="10"/>
        <color rgb="FF1F3864"/>
        <rFont val="Arial"/>
        <family val="0"/>
        <charset val="1"/>
      </rPr>
      <t xml:space="preserve">6_</t>
    </r>
    <r>
      <rPr>
        <b val="true"/>
        <sz val="10"/>
        <color rgb="FF1F3864"/>
        <rFont val="Noto Sans CJK SC"/>
        <family val="2"/>
      </rPr>
      <t xml:space="preserve">今後の値上予定</t>
    </r>
    <r>
      <rPr>
        <b val="true"/>
        <sz val="10"/>
        <color rgb="FF1F3864"/>
        <rFont val="Arial"/>
        <family val="0"/>
        <charset val="1"/>
      </rPr>
      <t xml:space="preserve">_BEI</t>
    </r>
  </si>
  <si>
    <t xml:space="preserve">下期値上げ予定（現時点でデータなし・要確認事項）</t>
  </si>
  <si>
    <r>
      <rPr>
        <b val="true"/>
        <sz val="10"/>
        <color rgb="FF1F3864"/>
        <rFont val="Arial"/>
        <family val="0"/>
        <charset val="1"/>
      </rPr>
      <t xml:space="preserve">7_</t>
    </r>
    <r>
      <rPr>
        <b val="true"/>
        <sz val="10"/>
        <color rgb="FF1F3864"/>
        <rFont val="Noto Sans CJK SC"/>
        <family val="2"/>
      </rPr>
      <t xml:space="preserve">利益率</t>
    </r>
    <r>
      <rPr>
        <b val="true"/>
        <sz val="10"/>
        <color rgb="FF1F3864"/>
        <rFont val="Arial"/>
        <family val="0"/>
        <charset val="1"/>
      </rPr>
      <t xml:space="preserve">_BEE</t>
    </r>
  </si>
  <si>
    <r>
      <rPr>
        <sz val="10"/>
        <rFont val="Arial"/>
        <family val="0"/>
        <charset val="1"/>
      </rPr>
      <t xml:space="preserve">2026</t>
    </r>
    <r>
      <rPr>
        <sz val="10"/>
        <rFont val="Noto Sans CJK SC"/>
        <family val="2"/>
      </rPr>
      <t xml:space="preserve">年</t>
    </r>
    <r>
      <rPr>
        <sz val="10"/>
        <rFont val="Arial"/>
        <family val="0"/>
        <charset val="1"/>
      </rPr>
      <t xml:space="preserve">7</t>
    </r>
    <r>
      <rPr>
        <sz val="10"/>
        <rFont val="Noto Sans CJK SC"/>
        <family val="2"/>
      </rPr>
      <t xml:space="preserve">月度実績　モデル別（品番別）・製品分類別 利益率一覧</t>
    </r>
  </si>
  <si>
    <r>
      <rPr>
        <b val="true"/>
        <sz val="10"/>
        <color rgb="FF1F3864"/>
        <rFont val="Arial"/>
        <family val="0"/>
        <charset val="1"/>
      </rPr>
      <t xml:space="preserve">8_</t>
    </r>
    <r>
      <rPr>
        <b val="true"/>
        <sz val="10"/>
        <color rgb="FF1F3864"/>
        <rFont val="Noto Sans CJK SC"/>
        <family val="2"/>
      </rPr>
      <t xml:space="preserve">利益ワースト</t>
    </r>
    <r>
      <rPr>
        <b val="true"/>
        <sz val="10"/>
        <color rgb="FF1F3864"/>
        <rFont val="Arial"/>
        <family val="0"/>
        <charset val="1"/>
      </rPr>
      <t xml:space="preserve">20_BEE</t>
    </r>
  </si>
  <si>
    <r>
      <rPr>
        <sz val="10"/>
        <rFont val="Arial"/>
        <family val="0"/>
        <charset val="1"/>
      </rPr>
      <t xml:space="preserve">2026</t>
    </r>
    <r>
      <rPr>
        <sz val="10"/>
        <rFont val="Noto Sans CJK SC"/>
        <family val="2"/>
      </rPr>
      <t xml:space="preserve">年</t>
    </r>
    <r>
      <rPr>
        <sz val="10"/>
        <rFont val="Arial"/>
        <family val="0"/>
        <charset val="1"/>
      </rPr>
      <t xml:space="preserve">7</t>
    </r>
    <r>
      <rPr>
        <sz val="10"/>
        <rFont val="Noto Sans CJK SC"/>
        <family val="2"/>
      </rPr>
      <t xml:space="preserve">月度実績　利益額（絶対額）ワースト</t>
    </r>
    <r>
      <rPr>
        <sz val="10"/>
        <rFont val="Arial"/>
        <family val="0"/>
        <charset val="1"/>
      </rPr>
      <t xml:space="preserve">20</t>
    </r>
  </si>
  <si>
    <r>
      <rPr>
        <b val="true"/>
        <sz val="10"/>
        <color rgb="FF1F3864"/>
        <rFont val="Arial"/>
        <family val="0"/>
        <charset val="1"/>
      </rPr>
      <t xml:space="preserve">9_</t>
    </r>
    <r>
      <rPr>
        <b val="true"/>
        <sz val="10"/>
        <color rgb="FF1F3864"/>
        <rFont val="Noto Sans CJK SC"/>
        <family val="2"/>
      </rPr>
      <t xml:space="preserve">利益率</t>
    </r>
    <r>
      <rPr>
        <b val="true"/>
        <sz val="10"/>
        <color rgb="FF1F3864"/>
        <rFont val="Arial"/>
        <family val="0"/>
        <charset val="1"/>
      </rPr>
      <t xml:space="preserve">_BEI</t>
    </r>
  </si>
  <si>
    <r>
      <rPr>
        <sz val="10"/>
        <rFont val="Arial"/>
        <family val="0"/>
        <charset val="1"/>
      </rPr>
      <t xml:space="preserve">BEI</t>
    </r>
    <r>
      <rPr>
        <sz val="10"/>
        <rFont val="Noto Sans CJK SC"/>
        <family val="2"/>
      </rPr>
      <t xml:space="preserve">　収益性データ（現時点でデータなし・要確認事項）</t>
    </r>
  </si>
  <si>
    <r>
      <rPr>
        <b val="true"/>
        <sz val="13"/>
        <color rgb="FF1F3864"/>
        <rFont val="Noto Sans CJK SC"/>
        <family val="2"/>
      </rPr>
      <t xml:space="preserve">①部材（材料）値上がり状況　</t>
    </r>
    <r>
      <rPr>
        <b val="true"/>
        <sz val="13"/>
        <color rgb="FF1F3864"/>
        <rFont val="Arial"/>
        <family val="0"/>
        <charset val="1"/>
      </rPr>
      <t xml:space="preserve">BEE</t>
    </r>
    <r>
      <rPr>
        <b val="true"/>
        <sz val="13"/>
        <color rgb="FF1F3864"/>
        <rFont val="Noto Sans CJK SC"/>
        <family val="2"/>
      </rPr>
      <t xml:space="preserve">（</t>
    </r>
    <r>
      <rPr>
        <b val="true"/>
        <sz val="13"/>
        <color rgb="FF1F3864"/>
        <rFont val="Arial"/>
        <family val="0"/>
        <charset val="1"/>
      </rPr>
      <t xml:space="preserve">TB</t>
    </r>
    <r>
      <rPr>
        <b val="true"/>
        <sz val="13"/>
        <color rgb="FF1F3864"/>
        <rFont val="Noto Sans CJK SC"/>
        <family val="2"/>
      </rPr>
      <t xml:space="preserve">播州電装・日本／百万円）　</t>
    </r>
    <r>
      <rPr>
        <b val="true"/>
        <sz val="13"/>
        <color rgb="FF1F3864"/>
        <rFont val="Arial"/>
        <family val="0"/>
        <charset val="1"/>
      </rPr>
      <t xml:space="preserve">2026</t>
    </r>
    <r>
      <rPr>
        <b val="true"/>
        <sz val="13"/>
        <color rgb="FF1F3864"/>
        <rFont val="Noto Sans CJK SC"/>
        <family val="2"/>
      </rPr>
      <t xml:space="preserve">年</t>
    </r>
    <r>
      <rPr>
        <b val="true"/>
        <sz val="13"/>
        <color rgb="FF1F3864"/>
        <rFont val="Arial"/>
        <family val="0"/>
        <charset val="1"/>
      </rPr>
      <t xml:space="preserve">1</t>
    </r>
    <r>
      <rPr>
        <b val="true"/>
        <sz val="13"/>
        <color rgb="FF1F3864"/>
        <rFont val="Noto Sans CJK SC"/>
        <family val="2"/>
      </rPr>
      <t xml:space="preserve">〜</t>
    </r>
    <r>
      <rPr>
        <b val="true"/>
        <sz val="13"/>
        <color rgb="FF1F3864"/>
        <rFont val="Arial"/>
        <family val="0"/>
        <charset val="1"/>
      </rPr>
      <t xml:space="preserve">7</t>
    </r>
    <r>
      <rPr>
        <b val="true"/>
        <sz val="13"/>
        <color rgb="FF1F3864"/>
        <rFont val="Noto Sans CJK SC"/>
        <family val="2"/>
      </rPr>
      <t xml:space="preserve">月</t>
    </r>
  </si>
  <si>
    <r>
      <rPr>
        <i val="true"/>
        <sz val="8.5"/>
        <color rgb="FF666666"/>
        <rFont val="Noto Sans CJK SC"/>
        <family val="2"/>
      </rPr>
      <t xml:space="preserve">出所：</t>
    </r>
    <r>
      <rPr>
        <i val="true"/>
        <sz val="8.5"/>
        <color rgb="FF666666"/>
        <rFont val="Arial"/>
        <family val="0"/>
        <charset val="1"/>
      </rPr>
      <t xml:space="preserve">BEE_</t>
    </r>
    <r>
      <rPr>
        <i val="true"/>
        <sz val="8.5"/>
        <color rgb="FF666666"/>
        <rFont val="Noto Sans CJK SC"/>
        <family val="2"/>
      </rPr>
      <t xml:space="preserve">材料</t>
    </r>
    <r>
      <rPr>
        <i val="true"/>
        <sz val="8.5"/>
        <color rgb="FF666666"/>
        <rFont val="Arial"/>
        <family val="0"/>
        <charset val="1"/>
      </rPr>
      <t xml:space="preserve">_</t>
    </r>
    <r>
      <rPr>
        <i val="true"/>
        <sz val="8.5"/>
        <color rgb="FF666666"/>
        <rFont val="Noto Sans CJK SC"/>
        <family val="2"/>
      </rPr>
      <t xml:space="preserve">値上げ値下げ分析</t>
    </r>
    <r>
      <rPr>
        <i val="true"/>
        <sz val="8.5"/>
        <color rgb="FF666666"/>
        <rFont val="Arial"/>
        <family val="0"/>
        <charset val="1"/>
      </rPr>
      <t xml:space="preserve">_2026.xlsx</t>
    </r>
    <r>
      <rPr>
        <i val="true"/>
        <sz val="8.5"/>
        <color rgb="FF666666"/>
        <rFont val="Noto Sans CJK SC"/>
        <family val="2"/>
      </rPr>
      <t xml:space="preserve">「品番別月次」等の原データより</t>
    </r>
    <r>
      <rPr>
        <i val="true"/>
        <sz val="8.5"/>
        <color rgb="FF666666"/>
        <rFont val="Arial"/>
        <family val="0"/>
        <charset val="1"/>
      </rPr>
      <t xml:space="preserve">2026</t>
    </r>
    <r>
      <rPr>
        <i val="true"/>
        <sz val="8.5"/>
        <color rgb="FF666666"/>
        <rFont val="Noto Sans CJK SC"/>
        <family val="2"/>
      </rPr>
      <t xml:space="preserve">年</t>
    </r>
    <r>
      <rPr>
        <i val="true"/>
        <sz val="8.5"/>
        <color rgb="FF666666"/>
        <rFont val="Arial"/>
        <family val="0"/>
        <charset val="1"/>
      </rPr>
      <t xml:space="preserve">7</t>
    </r>
    <r>
      <rPr>
        <i val="true"/>
        <sz val="8.5"/>
        <color rgb="FF666666"/>
        <rFont val="Noto Sans CJK SC"/>
        <family val="2"/>
      </rPr>
      <t xml:space="preserve">月末時点で集計（</t>
    </r>
    <r>
      <rPr>
        <i val="true"/>
        <sz val="8.5"/>
        <color rgb="FF666666"/>
        <rFont val="Arial"/>
        <family val="0"/>
        <charset val="1"/>
      </rPr>
      <t xml:space="preserve">8</t>
    </r>
    <r>
      <rPr>
        <i val="true"/>
        <sz val="8.5"/>
        <color rgb="FF666666"/>
        <rFont val="Noto Sans CJK SC"/>
        <family val="2"/>
      </rPr>
      <t xml:space="preserve">月は情報未確定のため対象外）。基準＝各品番の前年末</t>
    </r>
    <r>
      <rPr>
        <i val="true"/>
        <sz val="8.5"/>
        <color rgb="FF666666"/>
        <rFont val="Arial"/>
        <family val="0"/>
        <charset val="1"/>
      </rPr>
      <t xml:space="preserve">(2025</t>
    </r>
    <r>
      <rPr>
        <i val="true"/>
        <sz val="8.5"/>
        <color rgb="FF666666"/>
        <rFont val="Noto Sans CJK SC"/>
        <family val="2"/>
      </rPr>
      <t xml:space="preserve">年</t>
    </r>
    <r>
      <rPr>
        <i val="true"/>
        <sz val="8.5"/>
        <color rgb="FF666666"/>
        <rFont val="Arial"/>
        <family val="0"/>
        <charset val="1"/>
      </rPr>
      <t xml:space="preserve">)</t>
    </r>
    <r>
      <rPr>
        <i val="true"/>
        <sz val="8.5"/>
        <color rgb="FF666666"/>
        <rFont val="Noto Sans CJK SC"/>
        <family val="2"/>
      </rPr>
      <t xml:space="preserve">単価。異常値ルール（乖離除外・試作基準除外）適用。</t>
    </r>
    <r>
      <rPr>
        <i val="true"/>
        <sz val="8.5"/>
        <color rgb="FF666666"/>
        <rFont val="Arial"/>
        <family val="0"/>
        <charset val="1"/>
      </rPr>
      <t xml:space="preserve">BEE</t>
    </r>
    <r>
      <rPr>
        <i val="true"/>
        <sz val="8.5"/>
        <color rgb="FF666666"/>
        <rFont val="Noto Sans CJK SC"/>
        <family val="2"/>
      </rPr>
      <t xml:space="preserve">には事業セグメント区分がないため、電線区分（電線／電線以外）で整理。累計率＝累計影響</t>
    </r>
    <r>
      <rPr>
        <i val="true"/>
        <sz val="8.5"/>
        <color rgb="FF666666"/>
        <rFont val="Arial"/>
        <family val="0"/>
        <charset val="1"/>
      </rPr>
      <t xml:space="preserve">(1-7</t>
    </r>
    <r>
      <rPr>
        <i val="true"/>
        <sz val="8.5"/>
        <color rgb="FF666666"/>
        <rFont val="Noto Sans CJK SC"/>
        <family val="2"/>
      </rPr>
      <t xml:space="preserve">月</t>
    </r>
    <r>
      <rPr>
        <i val="true"/>
        <sz val="8.5"/>
        <color rgb="FF666666"/>
        <rFont val="Arial"/>
        <family val="0"/>
        <charset val="1"/>
      </rPr>
      <t xml:space="preserve">)÷</t>
    </r>
    <r>
      <rPr>
        <i val="true"/>
        <sz val="8.5"/>
        <color rgb="FF666666"/>
        <rFont val="Noto Sans CJK SC"/>
        <family val="2"/>
      </rPr>
      <t xml:space="preserve">仕入額（参照ベース）、</t>
    </r>
    <r>
      <rPr>
        <i val="true"/>
        <sz val="8.5"/>
        <color rgb="FF666666"/>
        <rFont val="Arial"/>
        <family val="0"/>
        <charset val="1"/>
      </rPr>
      <t xml:space="preserve">7</t>
    </r>
    <r>
      <rPr>
        <i val="true"/>
        <sz val="8.5"/>
        <color rgb="FF666666"/>
        <rFont val="Noto Sans CJK SC"/>
        <family val="2"/>
      </rPr>
      <t xml:space="preserve">月率＝</t>
    </r>
    <r>
      <rPr>
        <i val="true"/>
        <sz val="8.5"/>
        <color rgb="FF666666"/>
        <rFont val="Arial"/>
        <family val="0"/>
        <charset val="1"/>
      </rPr>
      <t xml:space="preserve">7</t>
    </r>
    <r>
      <rPr>
        <i val="true"/>
        <sz val="8.5"/>
        <color rgb="FF666666"/>
        <rFont val="Noto Sans CJK SC"/>
        <family val="2"/>
      </rPr>
      <t xml:space="preserve">月影響</t>
    </r>
    <r>
      <rPr>
        <i val="true"/>
        <sz val="8.5"/>
        <color rgb="FF666666"/>
        <rFont val="Arial"/>
        <family val="0"/>
        <charset val="1"/>
      </rPr>
      <t xml:space="preserve">÷7</t>
    </r>
    <r>
      <rPr>
        <i val="true"/>
        <sz val="8.5"/>
        <color rgb="FF666666"/>
        <rFont val="Noto Sans CJK SC"/>
        <family val="2"/>
      </rPr>
      <t xml:space="preserve">月実績仕入額（単月実額ベース）。</t>
    </r>
  </si>
  <si>
    <t xml:space="preserve">区分</t>
  </si>
  <si>
    <r>
      <rPr>
        <b val="true"/>
        <sz val="10"/>
        <color rgb="FFFFFFFF"/>
        <rFont val="Noto Sans CJK SC"/>
        <family val="2"/>
      </rPr>
      <t xml:space="preserve">値上</t>
    </r>
    <r>
      <rPr>
        <b val="true"/>
        <sz val="10"/>
        <color rgb="FFFFFFFF"/>
        <rFont val="Arial"/>
        <family val="0"/>
        <charset val="1"/>
      </rPr>
      <t xml:space="preserve">/</t>
    </r>
    <r>
      <rPr>
        <b val="true"/>
        <sz val="10"/>
        <color rgb="FFFFFFFF"/>
        <rFont val="Noto Sans CJK SC"/>
        <family val="2"/>
      </rPr>
      <t xml:space="preserve">値下</t>
    </r>
  </si>
  <si>
    <t xml:space="preserve">仕入額</t>
  </si>
  <si>
    <r>
      <rPr>
        <b val="true"/>
        <sz val="10"/>
        <color rgb="FFFFFFFF"/>
        <rFont val="Arial"/>
        <family val="0"/>
        <charset val="1"/>
      </rPr>
      <t xml:space="preserve">1</t>
    </r>
    <r>
      <rPr>
        <b val="true"/>
        <sz val="10"/>
        <color rgb="FFFFFFFF"/>
        <rFont val="Noto Sans CJK SC"/>
        <family val="2"/>
      </rPr>
      <t xml:space="preserve">月</t>
    </r>
  </si>
  <si>
    <r>
      <rPr>
        <b val="true"/>
        <sz val="10"/>
        <color rgb="FFFFFFFF"/>
        <rFont val="Arial"/>
        <family val="0"/>
        <charset val="1"/>
      </rPr>
      <t xml:space="preserve">2</t>
    </r>
    <r>
      <rPr>
        <b val="true"/>
        <sz val="10"/>
        <color rgb="FFFFFFFF"/>
        <rFont val="Noto Sans CJK SC"/>
        <family val="2"/>
      </rPr>
      <t xml:space="preserve">月</t>
    </r>
  </si>
  <si>
    <r>
      <rPr>
        <b val="true"/>
        <sz val="10"/>
        <color rgb="FFFFFFFF"/>
        <rFont val="Arial"/>
        <family val="0"/>
        <charset val="1"/>
      </rPr>
      <t xml:space="preserve">3</t>
    </r>
    <r>
      <rPr>
        <b val="true"/>
        <sz val="10"/>
        <color rgb="FFFFFFFF"/>
        <rFont val="Noto Sans CJK SC"/>
        <family val="2"/>
      </rPr>
      <t xml:space="preserve">月</t>
    </r>
  </si>
  <si>
    <r>
      <rPr>
        <b val="true"/>
        <sz val="10"/>
        <color rgb="FFFFFFFF"/>
        <rFont val="Arial"/>
        <family val="0"/>
        <charset val="1"/>
      </rPr>
      <t xml:space="preserve">4</t>
    </r>
    <r>
      <rPr>
        <b val="true"/>
        <sz val="10"/>
        <color rgb="FFFFFFFF"/>
        <rFont val="Noto Sans CJK SC"/>
        <family val="2"/>
      </rPr>
      <t xml:space="preserve">月</t>
    </r>
  </si>
  <si>
    <r>
      <rPr>
        <b val="true"/>
        <sz val="10"/>
        <color rgb="FFFFFFFF"/>
        <rFont val="Arial"/>
        <family val="0"/>
        <charset val="1"/>
      </rPr>
      <t xml:space="preserve">5</t>
    </r>
    <r>
      <rPr>
        <b val="true"/>
        <sz val="10"/>
        <color rgb="FFFFFFFF"/>
        <rFont val="Noto Sans CJK SC"/>
        <family val="2"/>
      </rPr>
      <t xml:space="preserve">月</t>
    </r>
  </si>
  <si>
    <r>
      <rPr>
        <b val="true"/>
        <sz val="10"/>
        <color rgb="FFFFFFFF"/>
        <rFont val="Arial"/>
        <family val="0"/>
        <charset val="1"/>
      </rPr>
      <t xml:space="preserve">6</t>
    </r>
    <r>
      <rPr>
        <b val="true"/>
        <sz val="10"/>
        <color rgb="FFFFFFFF"/>
        <rFont val="Noto Sans CJK SC"/>
        <family val="2"/>
      </rPr>
      <t xml:space="preserve">月</t>
    </r>
  </si>
  <si>
    <r>
      <rPr>
        <b val="true"/>
        <sz val="10"/>
        <color rgb="FFFFFFFF"/>
        <rFont val="Arial"/>
        <family val="0"/>
        <charset val="1"/>
      </rPr>
      <t xml:space="preserve">7</t>
    </r>
    <r>
      <rPr>
        <b val="true"/>
        <sz val="10"/>
        <color rgb="FFFFFFFF"/>
        <rFont val="Noto Sans CJK SC"/>
        <family val="2"/>
      </rPr>
      <t xml:space="preserve">月</t>
    </r>
  </si>
  <si>
    <t xml:space="preserve">累計</t>
  </si>
  <si>
    <t xml:space="preserve">累計率</t>
  </si>
  <si>
    <r>
      <rPr>
        <b val="true"/>
        <sz val="10"/>
        <color rgb="FFFFFFFF"/>
        <rFont val="Arial"/>
        <family val="0"/>
        <charset val="1"/>
      </rPr>
      <t xml:space="preserve">7</t>
    </r>
    <r>
      <rPr>
        <b val="true"/>
        <sz val="10"/>
        <color rgb="FFFFFFFF"/>
        <rFont val="Noto Sans CJK SC"/>
        <family val="2"/>
      </rPr>
      <t xml:space="preserve">月率</t>
    </r>
  </si>
  <si>
    <t xml:space="preserve">電線</t>
  </si>
  <si>
    <t xml:space="preserve">値上げ</t>
  </si>
  <si>
    <t xml:space="preserve">電線以外</t>
  </si>
  <si>
    <t xml:space="preserve">小計</t>
  </si>
  <si>
    <t xml:space="preserve">値下げ</t>
  </si>
  <si>
    <t xml:space="preserve">純影響（値上げ＋値下げ）</t>
  </si>
  <si>
    <r>
      <rPr>
        <b val="true"/>
        <sz val="13"/>
        <color rgb="FF1F3864"/>
        <rFont val="Noto Sans CJK SC"/>
        <family val="2"/>
      </rPr>
      <t xml:space="preserve">主要仕入先別　値上げ／値下げ　月次サマリー（百万円、上位</t>
    </r>
    <r>
      <rPr>
        <b val="true"/>
        <sz val="13"/>
        <color rgb="FF1F3864"/>
        <rFont val="Arial"/>
        <family val="0"/>
        <charset val="1"/>
      </rPr>
      <t xml:space="preserve">12</t>
    </r>
    <r>
      <rPr>
        <b val="true"/>
        <sz val="13"/>
        <color rgb="FF1F3864"/>
        <rFont val="Noto Sans CJK SC"/>
        <family val="2"/>
      </rPr>
      <t xml:space="preserve">社＋合計、</t>
    </r>
    <r>
      <rPr>
        <b val="true"/>
        <sz val="13"/>
        <color rgb="FF1F3864"/>
        <rFont val="Arial"/>
        <family val="0"/>
        <charset val="1"/>
      </rPr>
      <t xml:space="preserve">2026</t>
    </r>
    <r>
      <rPr>
        <b val="true"/>
        <sz val="13"/>
        <color rgb="FF1F3864"/>
        <rFont val="Noto Sans CJK SC"/>
        <family val="2"/>
      </rPr>
      <t xml:space="preserve">年</t>
    </r>
    <r>
      <rPr>
        <b val="true"/>
        <sz val="13"/>
        <color rgb="FF1F3864"/>
        <rFont val="Arial"/>
        <family val="0"/>
        <charset val="1"/>
      </rPr>
      <t xml:space="preserve">1</t>
    </r>
    <r>
      <rPr>
        <b val="true"/>
        <sz val="13"/>
        <color rgb="FF1F3864"/>
        <rFont val="Noto Sans CJK SC"/>
        <family val="2"/>
      </rPr>
      <t xml:space="preserve">〜</t>
    </r>
    <r>
      <rPr>
        <b val="true"/>
        <sz val="13"/>
        <color rgb="FF1F3864"/>
        <rFont val="Arial"/>
        <family val="0"/>
        <charset val="1"/>
      </rPr>
      <t xml:space="preserve">7</t>
    </r>
    <r>
      <rPr>
        <b val="true"/>
        <sz val="13"/>
        <color rgb="FF1F3864"/>
        <rFont val="Noto Sans CJK SC"/>
        <family val="2"/>
      </rPr>
      <t xml:space="preserve">月）</t>
    </r>
  </si>
  <si>
    <t xml:space="preserve">仕入先</t>
  </si>
  <si>
    <t xml:space="preserve">グローバル電子株式会社</t>
  </si>
  <si>
    <t xml:space="preserve">名古屋電気株式会社</t>
  </si>
  <si>
    <t xml:space="preserve">矢崎総業株式会社</t>
  </si>
  <si>
    <t xml:space="preserve">光昭株式会社</t>
  </si>
  <si>
    <t xml:space="preserve">日星電気株式会社</t>
  </si>
  <si>
    <t xml:space="preserve">センコーアドバンス株式会社</t>
  </si>
  <si>
    <t xml:space="preserve">協立電業　株式会社</t>
  </si>
  <si>
    <t xml:space="preserve">株式会社ノボル電機</t>
  </si>
  <si>
    <r>
      <rPr>
        <sz val="10"/>
        <rFont val="Arial"/>
        <family val="0"/>
        <charset val="1"/>
      </rPr>
      <t xml:space="preserve">JAE</t>
    </r>
    <r>
      <rPr>
        <sz val="10"/>
        <rFont val="Noto Sans CJK SC"/>
        <family val="2"/>
      </rPr>
      <t xml:space="preserve">八紘株式会社</t>
    </r>
  </si>
  <si>
    <t xml:space="preserve">株式会社　日本電化工業所</t>
  </si>
  <si>
    <t xml:space="preserve">共栄産業　株式会社</t>
  </si>
  <si>
    <t xml:space="preserve">長沼商事株式会社</t>
  </si>
  <si>
    <r>
      <rPr>
        <i val="true"/>
        <sz val="8.5"/>
        <color rgb="FF666666"/>
        <rFont val="Noto Sans CJK SC"/>
        <family val="2"/>
      </rPr>
      <t xml:space="preserve">矢崎総業（電線）の値上がり率が突出（累計</t>
    </r>
    <r>
      <rPr>
        <i val="true"/>
        <sz val="8.5"/>
        <color rgb="FF666666"/>
        <rFont val="Arial"/>
        <family val="0"/>
        <charset val="1"/>
      </rPr>
      <t xml:space="preserve">6.3%</t>
    </r>
    <r>
      <rPr>
        <i val="true"/>
        <sz val="8.5"/>
        <color rgb="FF666666"/>
        <rFont val="Noto Sans CJK SC"/>
        <family val="2"/>
      </rPr>
      <t xml:space="preserve">、</t>
    </r>
    <r>
      <rPr>
        <i val="true"/>
        <sz val="8.5"/>
        <color rgb="FF666666"/>
        <rFont val="Arial"/>
        <family val="0"/>
        <charset val="1"/>
      </rPr>
      <t xml:space="preserve">7</t>
    </r>
    <r>
      <rPr>
        <i val="true"/>
        <sz val="8.5"/>
        <color rgb="FF666666"/>
        <rFont val="Noto Sans CJK SC"/>
        <family val="2"/>
      </rPr>
      <t xml:space="preserve">月単月</t>
    </r>
    <r>
      <rPr>
        <i val="true"/>
        <sz val="8.5"/>
        <color rgb="FF666666"/>
        <rFont val="Arial"/>
        <family val="0"/>
        <charset val="1"/>
      </rPr>
      <t xml:space="preserve">6.8%</t>
    </r>
    <r>
      <rPr>
        <i val="true"/>
        <sz val="8.5"/>
        <color rgb="FF666666"/>
        <rFont val="Noto Sans CJK SC"/>
        <family val="2"/>
      </rPr>
      <t xml:space="preserve">）。一方グローバル電子（コネクタ・端子中心）は値下げが継続し、他の値上げの一部を相殺している。</t>
    </r>
  </si>
  <si>
    <r>
      <rPr>
        <b val="true"/>
        <sz val="13"/>
        <color rgb="FF1F3864"/>
        <rFont val="Noto Sans CJK SC"/>
        <family val="2"/>
      </rPr>
      <t xml:space="preserve">①部材（材料）値上がり状況　</t>
    </r>
    <r>
      <rPr>
        <b val="true"/>
        <sz val="13"/>
        <color rgb="FF1F3864"/>
        <rFont val="Arial"/>
        <family val="0"/>
        <charset val="1"/>
      </rPr>
      <t xml:space="preserve">BEI</t>
    </r>
    <r>
      <rPr>
        <b val="true"/>
        <sz val="13"/>
        <color rgb="FF1F3864"/>
        <rFont val="Noto Sans CJK SC"/>
        <family val="2"/>
      </rPr>
      <t xml:space="preserve">（</t>
    </r>
    <r>
      <rPr>
        <b val="true"/>
        <sz val="13"/>
        <color rgb="FF1F3864"/>
        <rFont val="Arial"/>
        <family val="0"/>
        <charset val="1"/>
      </rPr>
      <t xml:space="preserve">PT.Banshu Electric Indonesia</t>
    </r>
    <r>
      <rPr>
        <b val="true"/>
        <sz val="13"/>
        <color rgb="FF1F3864"/>
        <rFont val="Noto Sans CJK SC"/>
        <family val="2"/>
      </rPr>
      <t xml:space="preserve">・インドネシア／百万</t>
    </r>
    <r>
      <rPr>
        <b val="true"/>
        <sz val="13"/>
        <color rgb="FF1F3864"/>
        <rFont val="Arial"/>
        <family val="0"/>
        <charset val="1"/>
      </rPr>
      <t xml:space="preserve">IDR</t>
    </r>
    <r>
      <rPr>
        <b val="true"/>
        <sz val="13"/>
        <color rgb="FF1F3864"/>
        <rFont val="Noto Sans CJK SC"/>
        <family val="2"/>
      </rPr>
      <t xml:space="preserve">）　</t>
    </r>
    <r>
      <rPr>
        <b val="true"/>
        <sz val="13"/>
        <color rgb="FF1F3864"/>
        <rFont val="Arial"/>
        <family val="0"/>
        <charset val="1"/>
      </rPr>
      <t xml:space="preserve">2026</t>
    </r>
    <r>
      <rPr>
        <b val="true"/>
        <sz val="13"/>
        <color rgb="FF1F3864"/>
        <rFont val="Noto Sans CJK SC"/>
        <family val="2"/>
      </rPr>
      <t xml:space="preserve">年</t>
    </r>
    <r>
      <rPr>
        <b val="true"/>
        <sz val="13"/>
        <color rgb="FF1F3864"/>
        <rFont val="Arial"/>
        <family val="0"/>
        <charset val="1"/>
      </rPr>
      <t xml:space="preserve">1</t>
    </r>
    <r>
      <rPr>
        <b val="true"/>
        <sz val="13"/>
        <color rgb="FF1F3864"/>
        <rFont val="Noto Sans CJK SC"/>
        <family val="2"/>
      </rPr>
      <t xml:space="preserve">〜</t>
    </r>
    <r>
      <rPr>
        <b val="true"/>
        <sz val="13"/>
        <color rgb="FF1F3864"/>
        <rFont val="Arial"/>
        <family val="0"/>
        <charset val="1"/>
      </rPr>
      <t xml:space="preserve">7</t>
    </r>
    <r>
      <rPr>
        <b val="true"/>
        <sz val="13"/>
        <color rgb="FF1F3864"/>
        <rFont val="Noto Sans CJK SC"/>
        <family val="2"/>
      </rPr>
      <t xml:space="preserve">月</t>
    </r>
  </si>
  <si>
    <r>
      <rPr>
        <i val="true"/>
        <sz val="8.5"/>
        <color rgb="FF666666"/>
        <rFont val="Noto Sans CJK SC"/>
        <family val="2"/>
      </rPr>
      <t xml:space="preserve">出所：</t>
    </r>
    <r>
      <rPr>
        <i val="true"/>
        <sz val="8.5"/>
        <color rgb="FF666666"/>
        <rFont val="Arial"/>
        <family val="0"/>
        <charset val="1"/>
      </rPr>
      <t xml:space="preserve">BEI_</t>
    </r>
    <r>
      <rPr>
        <i val="true"/>
        <sz val="8.5"/>
        <color rgb="FF666666"/>
        <rFont val="Noto Sans CJK SC"/>
        <family val="2"/>
      </rPr>
      <t xml:space="preserve">材料製品</t>
    </r>
    <r>
      <rPr>
        <i val="true"/>
        <sz val="8.5"/>
        <color rgb="FF666666"/>
        <rFont val="Arial"/>
        <family val="0"/>
        <charset val="1"/>
      </rPr>
      <t xml:space="preserve">_</t>
    </r>
    <r>
      <rPr>
        <i val="true"/>
        <sz val="8.5"/>
        <color rgb="FF666666"/>
        <rFont val="Noto Sans CJK SC"/>
        <family val="2"/>
      </rPr>
      <t xml:space="preserve">値上げ影響と価格転嫁</t>
    </r>
    <r>
      <rPr>
        <i val="true"/>
        <sz val="8.5"/>
        <color rgb="FF666666"/>
        <rFont val="Arial"/>
        <family val="0"/>
        <charset val="1"/>
      </rPr>
      <t xml:space="preserve">_2025-2026.xlsx</t>
    </r>
    <r>
      <rPr>
        <i val="true"/>
        <sz val="8.5"/>
        <color rgb="FF666666"/>
        <rFont val="Noto Sans CJK SC"/>
        <family val="2"/>
      </rPr>
      <t xml:space="preserve">「サマリ</t>
    </r>
    <r>
      <rPr>
        <i val="true"/>
        <sz val="8.5"/>
        <color rgb="FF666666"/>
        <rFont val="Arial"/>
        <family val="0"/>
        <charset val="1"/>
      </rPr>
      <t xml:space="preserve">_</t>
    </r>
    <r>
      <rPr>
        <i val="true"/>
        <sz val="8.5"/>
        <color rgb="FF666666"/>
        <rFont val="Noto Sans CJK SC"/>
        <family val="2"/>
      </rPr>
      <t xml:space="preserve">材料」「サマリ</t>
    </r>
    <r>
      <rPr>
        <i val="true"/>
        <sz val="8.5"/>
        <color rgb="FF666666"/>
        <rFont val="Arial"/>
        <family val="0"/>
        <charset val="1"/>
      </rPr>
      <t xml:space="preserve">_</t>
    </r>
    <r>
      <rPr>
        <i val="true"/>
        <sz val="8.5"/>
        <color rgb="FF666666"/>
        <rFont val="Noto Sans CJK SC"/>
        <family val="2"/>
      </rPr>
      <t xml:space="preserve">仕入先別」。基準＝各品番の前年末</t>
    </r>
    <r>
      <rPr>
        <i val="true"/>
        <sz val="8.5"/>
        <color rgb="FF666666"/>
        <rFont val="Arial"/>
        <family val="0"/>
        <charset val="1"/>
      </rPr>
      <t xml:space="preserve">(2025</t>
    </r>
    <r>
      <rPr>
        <i val="true"/>
        <sz val="8.5"/>
        <color rgb="FF666666"/>
        <rFont val="Noto Sans CJK SC"/>
        <family val="2"/>
      </rPr>
      <t xml:space="preserve">年</t>
    </r>
    <r>
      <rPr>
        <i val="true"/>
        <sz val="8.5"/>
        <color rgb="FF666666"/>
        <rFont val="Arial"/>
        <family val="0"/>
        <charset val="1"/>
      </rPr>
      <t xml:space="preserve">)</t>
    </r>
    <r>
      <rPr>
        <i val="true"/>
        <sz val="8.5"/>
        <color rgb="FF666666"/>
        <rFont val="Noto Sans CJK SC"/>
        <family val="2"/>
      </rPr>
      <t xml:space="preserve">単価。セグメント：二輪＝二輪車向け、</t>
    </r>
    <r>
      <rPr>
        <i val="true"/>
        <sz val="8.5"/>
        <color rgb="FF666666"/>
        <rFont val="Arial"/>
        <family val="0"/>
        <charset val="1"/>
      </rPr>
      <t xml:space="preserve">HE</t>
    </r>
    <r>
      <rPr>
        <i val="true"/>
        <sz val="8.5"/>
        <color rgb="FF666666"/>
        <rFont val="Noto Sans CJK SC"/>
        <family val="2"/>
      </rPr>
      <t xml:space="preserve">国内＝建機（</t>
    </r>
    <r>
      <rPr>
        <i val="true"/>
        <sz val="8.5"/>
        <color rgb="FF666666"/>
        <rFont val="Arial"/>
        <family val="0"/>
        <charset val="1"/>
      </rPr>
      <t xml:space="preserve">Heavy Equipment</t>
    </r>
    <r>
      <rPr>
        <i val="true"/>
        <sz val="8.5"/>
        <color rgb="FF666666"/>
        <rFont val="Noto Sans CJK SC"/>
        <family val="2"/>
      </rPr>
      <t xml:space="preserve">）国内向け、</t>
    </r>
    <r>
      <rPr>
        <i val="true"/>
        <sz val="8.5"/>
        <color rgb="FF666666"/>
        <rFont val="Arial"/>
        <family val="0"/>
        <charset val="1"/>
      </rPr>
      <t xml:space="preserve">HE</t>
    </r>
    <r>
      <rPr>
        <i val="true"/>
        <sz val="8.5"/>
        <color rgb="FF666666"/>
        <rFont val="Noto Sans CJK SC"/>
        <family val="2"/>
      </rPr>
      <t xml:space="preserve">輸出＝建機輸出向け（うち</t>
    </r>
    <r>
      <rPr>
        <i val="true"/>
        <sz val="8.5"/>
        <color rgb="FF666666"/>
        <rFont val="Arial"/>
        <family val="0"/>
        <charset val="1"/>
      </rPr>
      <t xml:space="preserve">BEE</t>
    </r>
    <r>
      <rPr>
        <i val="true"/>
        <sz val="8.5"/>
        <color rgb="FF666666"/>
        <rFont val="Noto Sans CJK SC"/>
        <family val="2"/>
      </rPr>
      <t xml:space="preserve">向け含む）。通貨は</t>
    </r>
    <r>
      <rPr>
        <i val="true"/>
        <sz val="8.5"/>
        <color rgb="FF666666"/>
        <rFont val="Arial"/>
        <family val="0"/>
        <charset val="1"/>
      </rPr>
      <t xml:space="preserve">IDR</t>
    </r>
    <r>
      <rPr>
        <i val="true"/>
        <sz val="8.5"/>
        <color rgb="FF666666"/>
        <rFont val="Noto Sans CJK SC"/>
        <family val="2"/>
      </rPr>
      <t xml:space="preserve">（インドネシアルピア）で百万</t>
    </r>
    <r>
      <rPr>
        <i val="true"/>
        <sz val="8.5"/>
        <color rgb="FF666666"/>
        <rFont val="Arial"/>
        <family val="0"/>
        <charset val="1"/>
      </rPr>
      <t xml:space="preserve">IDR</t>
    </r>
    <r>
      <rPr>
        <i val="true"/>
        <sz val="8.5"/>
        <color rgb="FF666666"/>
        <rFont val="Noto Sans CJK SC"/>
        <family val="2"/>
      </rPr>
      <t xml:space="preserve">単位。累計率＝累計影響</t>
    </r>
    <r>
      <rPr>
        <i val="true"/>
        <sz val="8.5"/>
        <color rgb="FF666666"/>
        <rFont val="Arial"/>
        <family val="0"/>
        <charset val="1"/>
      </rPr>
      <t xml:space="preserve">÷</t>
    </r>
    <r>
      <rPr>
        <i val="true"/>
        <sz val="8.5"/>
        <color rgb="FF666666"/>
        <rFont val="Noto Sans CJK SC"/>
        <family val="2"/>
      </rPr>
      <t xml:space="preserve">仕入額、</t>
    </r>
    <r>
      <rPr>
        <i val="true"/>
        <sz val="8.5"/>
        <color rgb="FF666666"/>
        <rFont val="Arial"/>
        <family val="0"/>
        <charset val="1"/>
      </rPr>
      <t xml:space="preserve">7</t>
    </r>
    <r>
      <rPr>
        <i val="true"/>
        <sz val="8.5"/>
        <color rgb="FF666666"/>
        <rFont val="Noto Sans CJK SC"/>
        <family val="2"/>
      </rPr>
      <t xml:space="preserve">月率＝</t>
    </r>
    <r>
      <rPr>
        <i val="true"/>
        <sz val="8.5"/>
        <color rgb="FF666666"/>
        <rFont val="Arial"/>
        <family val="0"/>
        <charset val="1"/>
      </rPr>
      <t xml:space="preserve">7</t>
    </r>
    <r>
      <rPr>
        <i val="true"/>
        <sz val="8.5"/>
        <color rgb="FF666666"/>
        <rFont val="Noto Sans CJK SC"/>
        <family val="2"/>
      </rPr>
      <t xml:space="preserve">月影響</t>
    </r>
    <r>
      <rPr>
        <i val="true"/>
        <sz val="8.5"/>
        <color rgb="FF666666"/>
        <rFont val="Arial"/>
        <family val="0"/>
        <charset val="1"/>
      </rPr>
      <t xml:space="preserve">÷7</t>
    </r>
    <r>
      <rPr>
        <i val="true"/>
        <sz val="8.5"/>
        <color rgb="FF666666"/>
        <rFont val="Noto Sans CJK SC"/>
        <family val="2"/>
      </rPr>
      <t xml:space="preserve">月仕入額。</t>
    </r>
  </si>
  <si>
    <t xml:space="preserve">セグメント</t>
  </si>
  <si>
    <t xml:space="preserve">電線区分</t>
  </si>
  <si>
    <t xml:space="preserve">二輪</t>
  </si>
  <si>
    <r>
      <rPr>
        <sz val="10"/>
        <rFont val="Arial"/>
        <family val="0"/>
        <charset val="1"/>
      </rPr>
      <t xml:space="preserve">HE</t>
    </r>
    <r>
      <rPr>
        <sz val="10"/>
        <rFont val="Noto Sans CJK SC"/>
        <family val="2"/>
      </rPr>
      <t xml:space="preserve">輸出</t>
    </r>
  </si>
  <si>
    <r>
      <rPr>
        <sz val="10"/>
        <rFont val="Arial"/>
        <family val="0"/>
        <charset val="1"/>
      </rPr>
      <t xml:space="preserve">HE</t>
    </r>
    <r>
      <rPr>
        <sz val="10"/>
        <rFont val="Noto Sans CJK SC"/>
        <family val="2"/>
      </rPr>
      <t xml:space="preserve">国内</t>
    </r>
  </si>
  <si>
    <r>
      <rPr>
        <b val="true"/>
        <sz val="13"/>
        <color rgb="FF1F3864"/>
        <rFont val="Noto Sans CJK SC"/>
        <family val="2"/>
      </rPr>
      <t xml:space="preserve">セグメント別サマリー（純影響＝値上げ</t>
    </r>
    <r>
      <rPr>
        <b val="true"/>
        <sz val="13"/>
        <color rgb="FF1F3864"/>
        <rFont val="Arial"/>
        <family val="0"/>
        <charset val="1"/>
      </rPr>
      <t xml:space="preserve">+</t>
    </r>
    <r>
      <rPr>
        <b val="true"/>
        <sz val="13"/>
        <color rgb="FF1F3864"/>
        <rFont val="Noto Sans CJK SC"/>
        <family val="2"/>
      </rPr>
      <t xml:space="preserve">値下げ、百万</t>
    </r>
    <r>
      <rPr>
        <b val="true"/>
        <sz val="13"/>
        <color rgb="FF1F3864"/>
        <rFont val="Arial"/>
        <family val="0"/>
        <charset val="1"/>
      </rPr>
      <t xml:space="preserve">IDR</t>
    </r>
    <r>
      <rPr>
        <b val="true"/>
        <sz val="13"/>
        <color rgb="FF1F3864"/>
        <rFont val="Noto Sans CJK SC"/>
        <family val="2"/>
      </rPr>
      <t xml:space="preserve">、累計）</t>
    </r>
  </si>
  <si>
    <t xml:space="preserve">値上げ累計</t>
  </si>
  <si>
    <t xml:space="preserve">値下げ累計</t>
  </si>
  <si>
    <t xml:space="preserve">純影響累計</t>
  </si>
  <si>
    <t xml:space="preserve">純影響率</t>
  </si>
  <si>
    <r>
      <rPr>
        <b val="true"/>
        <sz val="13"/>
        <color rgb="FF1F3864"/>
        <rFont val="Noto Sans CJK SC"/>
        <family val="2"/>
      </rPr>
      <t xml:space="preserve">主要仕入先別　値上げ／値下げ　月次サマリー（百万</t>
    </r>
    <r>
      <rPr>
        <b val="true"/>
        <sz val="13"/>
        <color rgb="FF1F3864"/>
        <rFont val="Arial"/>
        <family val="0"/>
        <charset val="1"/>
      </rPr>
      <t xml:space="preserve">IDR</t>
    </r>
    <r>
      <rPr>
        <b val="true"/>
        <sz val="13"/>
        <color rgb="FF1F3864"/>
        <rFont val="Noto Sans CJK SC"/>
        <family val="2"/>
      </rPr>
      <t xml:space="preserve">、上位</t>
    </r>
    <r>
      <rPr>
        <b val="true"/>
        <sz val="13"/>
        <color rgb="FF1F3864"/>
        <rFont val="Arial"/>
        <family val="0"/>
        <charset val="1"/>
      </rPr>
      <t xml:space="preserve">11</t>
    </r>
    <r>
      <rPr>
        <b val="true"/>
        <sz val="13"/>
        <color rgb="FF1F3864"/>
        <rFont val="Noto Sans CJK SC"/>
        <family val="2"/>
      </rPr>
      <t xml:space="preserve">社＋合計）</t>
    </r>
  </si>
  <si>
    <t xml:space="preserve">PT. ASKARA INTERNAL</t>
  </si>
  <si>
    <t xml:space="preserve">BEE (TB Banshu Electric)</t>
  </si>
  <si>
    <t xml:space="preserve">WONDERFUL (VIETNAM) WIRE &amp; CABLE</t>
  </si>
  <si>
    <t xml:space="preserve">PT. NAGOYA DENKI</t>
  </si>
  <si>
    <t xml:space="preserve">PT. BANSHU RUBBER INDONESIA</t>
  </si>
  <si>
    <t xml:space="preserve">PT. TOYO DENSO INDONESIA</t>
  </si>
  <si>
    <t xml:space="preserve">PT. BANSHU PLASTIC INDONESIA</t>
  </si>
  <si>
    <t xml:space="preserve">PT. INDONESIA STANLEY ELECTRIC</t>
  </si>
  <si>
    <t xml:space="preserve">PT. MARUBUN ARROW INDONESIA</t>
  </si>
  <si>
    <t xml:space="preserve">PT. AUTOCOMP SYSTEMS INDONESIA</t>
  </si>
  <si>
    <t xml:space="preserve">PT. BANSHU METAL INDONESIA</t>
  </si>
  <si>
    <t xml:space="preserve">合計（全仕入先）</t>
  </si>
  <si>
    <r>
      <rPr>
        <i val="true"/>
        <sz val="8.5"/>
        <color rgb="FF666666"/>
        <rFont val="Arial"/>
        <family val="0"/>
        <charset val="1"/>
      </rPr>
      <t xml:space="preserve">PT. ASKARA INTERNAL</t>
    </r>
    <r>
      <rPr>
        <i val="true"/>
        <sz val="8.5"/>
        <color rgb="FF666666"/>
        <rFont val="Noto Sans CJK SC"/>
        <family val="2"/>
      </rPr>
      <t xml:space="preserve">と </t>
    </r>
    <r>
      <rPr>
        <i val="true"/>
        <sz val="8.5"/>
        <color rgb="FF666666"/>
        <rFont val="Arial"/>
        <family val="0"/>
        <charset val="1"/>
      </rPr>
      <t xml:space="preserve">BEE (TB Banshu Electric</t>
    </r>
    <r>
      <rPr>
        <i val="true"/>
        <sz val="8.5"/>
        <color rgb="FF666666"/>
        <rFont val="Noto Sans CJK SC"/>
        <family val="2"/>
      </rPr>
      <t xml:space="preserve">、日本からの部材支給</t>
    </r>
    <r>
      <rPr>
        <i val="true"/>
        <sz val="8.5"/>
        <color rgb="FF666666"/>
        <rFont val="Arial"/>
        <family val="0"/>
        <charset val="1"/>
      </rPr>
      <t xml:space="preserve">)</t>
    </r>
    <r>
      <rPr>
        <i val="true"/>
        <sz val="8.5"/>
        <color rgb="FF666666"/>
        <rFont val="Noto Sans CJK SC"/>
        <family val="2"/>
      </rPr>
      <t xml:space="preserve">が値上げ影響の中心。</t>
    </r>
    <r>
      <rPr>
        <i val="true"/>
        <sz val="8.5"/>
        <color rgb="FF666666"/>
        <rFont val="Arial"/>
        <family val="0"/>
        <charset val="1"/>
      </rPr>
      <t xml:space="preserve">BEE (TB Banshu Electric)</t>
    </r>
    <r>
      <rPr>
        <i val="true"/>
        <sz val="8.5"/>
        <color rgb="FF666666"/>
        <rFont val="Noto Sans CJK SC"/>
        <family val="2"/>
      </rPr>
      <t xml:space="preserve">は累計仕入額</t>
    </r>
    <r>
      <rPr>
        <i val="true"/>
        <sz val="8.5"/>
        <color rgb="FF666666"/>
        <rFont val="Arial"/>
        <family val="0"/>
        <charset val="1"/>
      </rPr>
      <t xml:space="preserve">152,670</t>
    </r>
    <r>
      <rPr>
        <i val="true"/>
        <sz val="8.5"/>
        <color rgb="FF666666"/>
        <rFont val="Noto Sans CJK SC"/>
        <family val="2"/>
      </rPr>
      <t xml:space="preserve">百万</t>
    </r>
    <r>
      <rPr>
        <i val="true"/>
        <sz val="8.5"/>
        <color rgb="FF666666"/>
        <rFont val="Arial"/>
        <family val="0"/>
        <charset val="1"/>
      </rPr>
      <t xml:space="preserve">IDR</t>
    </r>
    <r>
      <rPr>
        <i val="true"/>
        <sz val="8.5"/>
        <color rgb="FF666666"/>
        <rFont val="Noto Sans CJK SC"/>
        <family val="2"/>
      </rPr>
      <t xml:space="preserve">に対し値上げ累計</t>
    </r>
    <r>
      <rPr>
        <i val="true"/>
        <sz val="8.5"/>
        <color rgb="FF666666"/>
        <rFont val="Arial"/>
        <family val="0"/>
        <charset val="1"/>
      </rPr>
      <t xml:space="preserve">8,292</t>
    </r>
    <r>
      <rPr>
        <i val="true"/>
        <sz val="8.5"/>
        <color rgb="FF666666"/>
        <rFont val="Noto Sans CJK SC"/>
        <family val="2"/>
      </rPr>
      <t xml:space="preserve">百万</t>
    </r>
    <r>
      <rPr>
        <i val="true"/>
        <sz val="8.5"/>
        <color rgb="FF666666"/>
        <rFont val="Arial"/>
        <family val="0"/>
        <charset val="1"/>
      </rPr>
      <t xml:space="preserve">IDR</t>
    </r>
    <r>
      <rPr>
        <i val="true"/>
        <sz val="8.5"/>
        <color rgb="FF666666"/>
        <rFont val="Noto Sans CJK SC"/>
        <family val="2"/>
      </rPr>
      <t xml:space="preserve">（</t>
    </r>
    <r>
      <rPr>
        <i val="true"/>
        <sz val="8.5"/>
        <color rgb="FF666666"/>
        <rFont val="Arial"/>
        <family val="0"/>
        <charset val="1"/>
      </rPr>
      <t xml:space="preserve">5.4%</t>
    </r>
    <r>
      <rPr>
        <i val="true"/>
        <sz val="8.5"/>
        <color rgb="FF666666"/>
        <rFont val="Noto Sans CJK SC"/>
        <family val="2"/>
      </rPr>
      <t xml:space="preserve">）・値下げ累計▲</t>
    </r>
    <r>
      <rPr>
        <i val="true"/>
        <sz val="8.5"/>
        <color rgb="FF666666"/>
        <rFont val="Arial"/>
        <family val="0"/>
        <charset val="1"/>
      </rPr>
      <t xml:space="preserve">2,394</t>
    </r>
    <r>
      <rPr>
        <i val="true"/>
        <sz val="8.5"/>
        <color rgb="FF666666"/>
        <rFont val="Noto Sans CJK SC"/>
        <family val="2"/>
      </rPr>
      <t xml:space="preserve">百万</t>
    </r>
    <r>
      <rPr>
        <i val="true"/>
        <sz val="8.5"/>
        <color rgb="FF666666"/>
        <rFont val="Arial"/>
        <family val="0"/>
        <charset val="1"/>
      </rPr>
      <t xml:space="preserve">IDR</t>
    </r>
    <r>
      <rPr>
        <i val="true"/>
        <sz val="8.5"/>
        <color rgb="FF666666"/>
        <rFont val="Noto Sans CJK SC"/>
        <family val="2"/>
      </rPr>
      <t xml:space="preserve">（▲</t>
    </r>
    <r>
      <rPr>
        <i val="true"/>
        <sz val="8.5"/>
        <color rgb="FF666666"/>
        <rFont val="Arial"/>
        <family val="0"/>
        <charset val="1"/>
      </rPr>
      <t xml:space="preserve">1.6%</t>
    </r>
    <r>
      <rPr>
        <i val="true"/>
        <sz val="8.5"/>
        <color rgb="FF666666"/>
        <rFont val="Noto Sans CJK SC"/>
        <family val="2"/>
      </rPr>
      <t xml:space="preserve">）で、純増額は約</t>
    </r>
    <r>
      <rPr>
        <i val="true"/>
        <sz val="8.5"/>
        <color rgb="FF666666"/>
        <rFont val="Arial"/>
        <family val="0"/>
        <charset val="1"/>
      </rPr>
      <t xml:space="preserve">5,898</t>
    </r>
    <r>
      <rPr>
        <i val="true"/>
        <sz val="8.5"/>
        <color rgb="FF666666"/>
        <rFont val="Noto Sans CJK SC"/>
        <family val="2"/>
      </rPr>
      <t xml:space="preserve">百万</t>
    </r>
    <r>
      <rPr>
        <i val="true"/>
        <sz val="8.5"/>
        <color rgb="FF666666"/>
        <rFont val="Arial"/>
        <family val="0"/>
        <charset val="1"/>
      </rPr>
      <t xml:space="preserve">IDR</t>
    </r>
    <r>
      <rPr>
        <i val="true"/>
        <sz val="8.5"/>
        <color rgb="FF666666"/>
        <rFont val="Noto Sans CJK SC"/>
        <family val="2"/>
      </rPr>
      <t xml:space="preserve">（</t>
    </r>
    <r>
      <rPr>
        <i val="true"/>
        <sz val="8.5"/>
        <color rgb="FF666666"/>
        <rFont val="Arial"/>
        <family val="0"/>
        <charset val="1"/>
      </rPr>
      <t xml:space="preserve">3.9%</t>
    </r>
    <r>
      <rPr>
        <i val="true"/>
        <sz val="8.5"/>
        <color rgb="FF666666"/>
        <rFont val="Noto Sans CJK SC"/>
        <family val="2"/>
      </rPr>
      <t xml:space="preserve">）。</t>
    </r>
  </si>
  <si>
    <r>
      <rPr>
        <b val="true"/>
        <sz val="13"/>
        <color rgb="FF1F3864"/>
        <rFont val="Noto Sans CJK SC"/>
        <family val="2"/>
      </rPr>
      <t xml:space="preserve">②製品への価格転嫁　月別状況　</t>
    </r>
    <r>
      <rPr>
        <b val="true"/>
        <sz val="13"/>
        <color rgb="FF1F3864"/>
        <rFont val="Arial"/>
        <family val="0"/>
        <charset val="1"/>
      </rPr>
      <t xml:space="preserve">BEE</t>
    </r>
    <r>
      <rPr>
        <b val="true"/>
        <sz val="13"/>
        <color rgb="FF1F3864"/>
        <rFont val="Noto Sans CJK SC"/>
        <family val="2"/>
      </rPr>
      <t xml:space="preserve">（得意先区分別／百万円）　</t>
    </r>
    <r>
      <rPr>
        <b val="true"/>
        <sz val="13"/>
        <color rgb="FF1F3864"/>
        <rFont val="Arial"/>
        <family val="0"/>
        <charset val="1"/>
      </rPr>
      <t xml:space="preserve">2026</t>
    </r>
    <r>
      <rPr>
        <b val="true"/>
        <sz val="13"/>
        <color rgb="FF1F3864"/>
        <rFont val="Noto Sans CJK SC"/>
        <family val="2"/>
      </rPr>
      <t xml:space="preserve">年</t>
    </r>
    <r>
      <rPr>
        <b val="true"/>
        <sz val="13"/>
        <color rgb="FF1F3864"/>
        <rFont val="Arial"/>
        <family val="0"/>
        <charset val="1"/>
      </rPr>
      <t xml:space="preserve">1</t>
    </r>
    <r>
      <rPr>
        <b val="true"/>
        <sz val="13"/>
        <color rgb="FF1F3864"/>
        <rFont val="Noto Sans CJK SC"/>
        <family val="2"/>
      </rPr>
      <t xml:space="preserve">〜</t>
    </r>
    <r>
      <rPr>
        <b val="true"/>
        <sz val="13"/>
        <color rgb="FF1F3864"/>
        <rFont val="Arial"/>
        <family val="0"/>
        <charset val="1"/>
      </rPr>
      <t xml:space="preserve">7</t>
    </r>
    <r>
      <rPr>
        <b val="true"/>
        <sz val="13"/>
        <color rgb="FF1F3864"/>
        <rFont val="Noto Sans CJK SC"/>
        <family val="2"/>
      </rPr>
      <t xml:space="preserve">月</t>
    </r>
  </si>
  <si>
    <r>
      <rPr>
        <i val="true"/>
        <sz val="8.5"/>
        <color rgb="FF666666"/>
        <rFont val="Noto Sans CJK SC"/>
        <family val="2"/>
      </rPr>
      <t xml:space="preserve">出所：</t>
    </r>
    <r>
      <rPr>
        <i val="true"/>
        <sz val="8.5"/>
        <color rgb="FF666666"/>
        <rFont val="Arial"/>
        <family val="0"/>
        <charset val="1"/>
      </rPr>
      <t xml:space="preserve">BEE_</t>
    </r>
    <r>
      <rPr>
        <i val="true"/>
        <sz val="8.5"/>
        <color rgb="FF666666"/>
        <rFont val="Noto Sans CJK SC"/>
        <family val="2"/>
      </rPr>
      <t xml:space="preserve">材料</t>
    </r>
    <r>
      <rPr>
        <i val="true"/>
        <sz val="8.5"/>
        <color rgb="FF666666"/>
        <rFont val="Arial"/>
        <family val="0"/>
        <charset val="1"/>
      </rPr>
      <t xml:space="preserve">_</t>
    </r>
    <r>
      <rPr>
        <i val="true"/>
        <sz val="8.5"/>
        <color rgb="FF666666"/>
        <rFont val="Noto Sans CJK SC"/>
        <family val="2"/>
      </rPr>
      <t xml:space="preserve">値上げ値下げ分析</t>
    </r>
    <r>
      <rPr>
        <i val="true"/>
        <sz val="8.5"/>
        <color rgb="FF666666"/>
        <rFont val="Arial"/>
        <family val="0"/>
        <charset val="1"/>
      </rPr>
      <t xml:space="preserve">_2026.xlsx</t>
    </r>
    <r>
      <rPr>
        <i val="true"/>
        <sz val="8.5"/>
        <color rgb="FF666666"/>
        <rFont val="Noto Sans CJK SC"/>
        <family val="2"/>
      </rPr>
      <t xml:space="preserve">「得意先別月次」等の原データより</t>
    </r>
    <r>
      <rPr>
        <i val="true"/>
        <sz val="8.5"/>
        <color rgb="FF666666"/>
        <rFont val="Arial"/>
        <family val="0"/>
        <charset val="1"/>
      </rPr>
      <t xml:space="preserve">2026</t>
    </r>
    <r>
      <rPr>
        <i val="true"/>
        <sz val="8.5"/>
        <color rgb="FF666666"/>
        <rFont val="Noto Sans CJK SC"/>
        <family val="2"/>
      </rPr>
      <t xml:space="preserve">年</t>
    </r>
    <r>
      <rPr>
        <i val="true"/>
        <sz val="8.5"/>
        <color rgb="FF666666"/>
        <rFont val="Arial"/>
        <family val="0"/>
        <charset val="1"/>
      </rPr>
      <t xml:space="preserve">7</t>
    </r>
    <r>
      <rPr>
        <i val="true"/>
        <sz val="8.5"/>
        <color rgb="FF666666"/>
        <rFont val="Noto Sans CJK SC"/>
        <family val="2"/>
      </rPr>
      <t xml:space="preserve">月末時点で集計（</t>
    </r>
    <r>
      <rPr>
        <i val="true"/>
        <sz val="8.5"/>
        <color rgb="FF666666"/>
        <rFont val="Arial"/>
        <family val="0"/>
        <charset val="1"/>
      </rPr>
      <t xml:space="preserve">8</t>
    </r>
    <r>
      <rPr>
        <i val="true"/>
        <sz val="8.5"/>
        <color rgb="FF666666"/>
        <rFont val="Noto Sans CJK SC"/>
        <family val="2"/>
      </rPr>
      <t xml:space="preserve">月は情報未確定のため対象外）。社内売り</t>
    </r>
    <r>
      <rPr>
        <i val="true"/>
        <sz val="8.5"/>
        <color rgb="FF666666"/>
        <rFont val="Arial"/>
        <family val="0"/>
        <charset val="1"/>
      </rPr>
      <t xml:space="preserve">(BEI</t>
    </r>
    <r>
      <rPr>
        <i val="true"/>
        <sz val="8.5"/>
        <color rgb="FF666666"/>
        <rFont val="Noto Sans CJK SC"/>
        <family val="2"/>
      </rPr>
      <t xml:space="preserve">向け部材支給</t>
    </r>
    <r>
      <rPr>
        <i val="true"/>
        <sz val="8.5"/>
        <color rgb="FF666666"/>
        <rFont val="Arial"/>
        <family val="0"/>
        <charset val="1"/>
      </rPr>
      <t xml:space="preserve">)</t>
    </r>
    <r>
      <rPr>
        <i val="true"/>
        <sz val="8.5"/>
        <color rgb="FF666666"/>
        <rFont val="Noto Sans CJK SC"/>
        <family val="2"/>
      </rPr>
      <t xml:space="preserve">は除外。</t>
    </r>
    <r>
      <rPr>
        <i val="true"/>
        <sz val="8.5"/>
        <color rgb="FF666666"/>
        <rFont val="Arial"/>
        <family val="0"/>
        <charset val="1"/>
      </rPr>
      <t xml:space="preserve">BEE</t>
    </r>
    <r>
      <rPr>
        <i val="true"/>
        <sz val="8.5"/>
        <color rgb="FF666666"/>
        <rFont val="Noto Sans CJK SC"/>
        <family val="2"/>
      </rPr>
      <t xml:space="preserve">には事業セグメント区分がないため、得意先区分（日立系・コベルコ系・住友系・キャタピラー系・コマツ系・その他）で整理。累計率＝累計影響</t>
    </r>
    <r>
      <rPr>
        <i val="true"/>
        <sz val="8.5"/>
        <color rgb="FF666666"/>
        <rFont val="Arial"/>
        <family val="0"/>
        <charset val="1"/>
      </rPr>
      <t xml:space="preserve">(1-7</t>
    </r>
    <r>
      <rPr>
        <i val="true"/>
        <sz val="8.5"/>
        <color rgb="FF666666"/>
        <rFont val="Noto Sans CJK SC"/>
        <family val="2"/>
      </rPr>
      <t xml:space="preserve">月</t>
    </r>
    <r>
      <rPr>
        <i val="true"/>
        <sz val="8.5"/>
        <color rgb="FF666666"/>
        <rFont val="Arial"/>
        <family val="0"/>
        <charset val="1"/>
      </rPr>
      <t xml:space="preserve">)÷</t>
    </r>
    <r>
      <rPr>
        <i val="true"/>
        <sz val="8.5"/>
        <color rgb="FF666666"/>
        <rFont val="Noto Sans CJK SC"/>
        <family val="2"/>
      </rPr>
      <t xml:space="preserve">売上額（参照ベース）、</t>
    </r>
    <r>
      <rPr>
        <i val="true"/>
        <sz val="8.5"/>
        <color rgb="FF666666"/>
        <rFont val="Arial"/>
        <family val="0"/>
        <charset val="1"/>
      </rPr>
      <t xml:space="preserve">7</t>
    </r>
    <r>
      <rPr>
        <i val="true"/>
        <sz val="8.5"/>
        <color rgb="FF666666"/>
        <rFont val="Noto Sans CJK SC"/>
        <family val="2"/>
      </rPr>
      <t xml:space="preserve">月率＝</t>
    </r>
    <r>
      <rPr>
        <i val="true"/>
        <sz val="8.5"/>
        <color rgb="FF666666"/>
        <rFont val="Arial"/>
        <family val="0"/>
        <charset val="1"/>
      </rPr>
      <t xml:space="preserve">7</t>
    </r>
    <r>
      <rPr>
        <i val="true"/>
        <sz val="8.5"/>
        <color rgb="FF666666"/>
        <rFont val="Noto Sans CJK SC"/>
        <family val="2"/>
      </rPr>
      <t xml:space="preserve">月影響</t>
    </r>
    <r>
      <rPr>
        <i val="true"/>
        <sz val="8.5"/>
        <color rgb="FF666666"/>
        <rFont val="Arial"/>
        <family val="0"/>
        <charset val="1"/>
      </rPr>
      <t xml:space="preserve">÷7</t>
    </r>
    <r>
      <rPr>
        <i val="true"/>
        <sz val="8.5"/>
        <color rgb="FF666666"/>
        <rFont val="Noto Sans CJK SC"/>
        <family val="2"/>
      </rPr>
      <t xml:space="preserve">月実績売上額（単月実額ベース）。</t>
    </r>
  </si>
  <si>
    <t xml:space="preserve">得意先区分</t>
  </si>
  <si>
    <t xml:space="preserve">売上額</t>
  </si>
  <si>
    <t xml:space="preserve">日立系</t>
  </si>
  <si>
    <t xml:space="preserve">その他</t>
  </si>
  <si>
    <t xml:space="preserve">コベルコ系</t>
  </si>
  <si>
    <t xml:space="preserve">住友系</t>
  </si>
  <si>
    <t xml:space="preserve">キャタピラー系</t>
  </si>
  <si>
    <t xml:space="preserve">コマツ系</t>
  </si>
  <si>
    <t xml:space="preserve">旧サービス</t>
  </si>
  <si>
    <t xml:space="preserve">純影響（値上げ＋値下げ）合計</t>
  </si>
  <si>
    <r>
      <rPr>
        <i val="true"/>
        <sz val="8.5"/>
        <color rgb="FF666666"/>
        <rFont val="Noto Sans CJK SC"/>
        <family val="2"/>
      </rPr>
      <t xml:space="preserve">日立系は</t>
    </r>
    <r>
      <rPr>
        <i val="true"/>
        <sz val="8.5"/>
        <color rgb="FF666666"/>
        <rFont val="Arial"/>
        <family val="0"/>
        <charset val="1"/>
      </rPr>
      <t xml:space="preserve">6</t>
    </r>
    <r>
      <rPr>
        <i val="true"/>
        <sz val="8.5"/>
        <color rgb="FF666666"/>
        <rFont val="Noto Sans CJK SC"/>
        <family val="2"/>
      </rPr>
      <t xml:space="preserve">〜</t>
    </r>
    <r>
      <rPr>
        <i val="true"/>
        <sz val="8.5"/>
        <color rgb="FF666666"/>
        <rFont val="Arial"/>
        <family val="0"/>
        <charset val="1"/>
      </rPr>
      <t xml:space="preserve">7</t>
    </r>
    <r>
      <rPr>
        <i val="true"/>
        <sz val="8.5"/>
        <color rgb="FF666666"/>
        <rFont val="Noto Sans CJK SC"/>
        <family val="2"/>
      </rPr>
      <t xml:space="preserve">月に純影響が急増（</t>
    </r>
    <r>
      <rPr>
        <i val="true"/>
        <sz val="8.5"/>
        <color rgb="FF666666"/>
        <rFont val="Arial"/>
        <family val="0"/>
        <charset val="1"/>
      </rPr>
      <t xml:space="preserve">3.24→8.31</t>
    </r>
    <r>
      <rPr>
        <i val="true"/>
        <sz val="8.5"/>
        <color rgb="FF666666"/>
        <rFont val="Noto Sans CJK SC"/>
        <family val="2"/>
      </rPr>
      <t xml:space="preserve">百万円）しており、交渉合意分の遡及計上とみられる。住友系（イチネンアクセス）は</t>
    </r>
    <r>
      <rPr>
        <i val="true"/>
        <sz val="8.5"/>
        <color rgb="FF666666"/>
        <rFont val="Arial"/>
        <family val="0"/>
        <charset val="1"/>
      </rPr>
      <t xml:space="preserve">7</t>
    </r>
    <r>
      <rPr>
        <i val="true"/>
        <sz val="8.5"/>
        <color rgb="FF666666"/>
        <rFont val="Noto Sans CJK SC"/>
        <family val="2"/>
      </rPr>
      <t xml:space="preserve">月率</t>
    </r>
    <r>
      <rPr>
        <i val="true"/>
        <sz val="8.5"/>
        <color rgb="FF666666"/>
        <rFont val="Arial"/>
        <family val="0"/>
        <charset val="1"/>
      </rPr>
      <t xml:space="preserve">7.2%</t>
    </r>
    <r>
      <rPr>
        <i val="true"/>
        <sz val="8.5"/>
        <color rgb="FF666666"/>
        <rFont val="Noto Sans CJK SC"/>
        <family val="2"/>
      </rPr>
      <t xml:space="preserve">と転嫁が進む一方、キャタピラー系は累計</t>
    </r>
    <r>
      <rPr>
        <i val="true"/>
        <sz val="8.5"/>
        <color rgb="FF666666"/>
        <rFont val="Arial"/>
        <family val="0"/>
        <charset val="1"/>
      </rPr>
      <t xml:space="preserve">0.03%</t>
    </r>
    <r>
      <rPr>
        <i val="true"/>
        <sz val="8.5"/>
        <color rgb="FF666666"/>
        <rFont val="Noto Sans CJK SC"/>
        <family val="2"/>
      </rPr>
      <t xml:space="preserve">にとどまり、他区分より転嫁が明確に遅れている。</t>
    </r>
  </si>
  <si>
    <r>
      <rPr>
        <b val="true"/>
        <sz val="13"/>
        <color rgb="FF1F3864"/>
        <rFont val="Noto Sans CJK SC"/>
        <family val="2"/>
      </rPr>
      <t xml:space="preserve">②製品への価格転嫁　月別状況　</t>
    </r>
    <r>
      <rPr>
        <b val="true"/>
        <sz val="13"/>
        <color rgb="FF1F3864"/>
        <rFont val="Arial"/>
        <family val="0"/>
        <charset val="1"/>
      </rPr>
      <t xml:space="preserve">BEI</t>
    </r>
    <r>
      <rPr>
        <b val="true"/>
        <sz val="13"/>
        <color rgb="FF1F3864"/>
        <rFont val="Noto Sans CJK SC"/>
        <family val="2"/>
      </rPr>
      <t xml:space="preserve">（セグメント別・顧客別／百万</t>
    </r>
    <r>
      <rPr>
        <b val="true"/>
        <sz val="13"/>
        <color rgb="FF1F3864"/>
        <rFont val="Arial"/>
        <family val="0"/>
        <charset val="1"/>
      </rPr>
      <t xml:space="preserve">IDR</t>
    </r>
    <r>
      <rPr>
        <b val="true"/>
        <sz val="13"/>
        <color rgb="FF1F3864"/>
        <rFont val="Noto Sans CJK SC"/>
        <family val="2"/>
      </rPr>
      <t xml:space="preserve">）　</t>
    </r>
    <r>
      <rPr>
        <b val="true"/>
        <sz val="13"/>
        <color rgb="FF1F3864"/>
        <rFont val="Arial"/>
        <family val="0"/>
        <charset val="1"/>
      </rPr>
      <t xml:space="preserve">2026</t>
    </r>
    <r>
      <rPr>
        <b val="true"/>
        <sz val="13"/>
        <color rgb="FF1F3864"/>
        <rFont val="Noto Sans CJK SC"/>
        <family val="2"/>
      </rPr>
      <t xml:space="preserve">年</t>
    </r>
    <r>
      <rPr>
        <b val="true"/>
        <sz val="13"/>
        <color rgb="FF1F3864"/>
        <rFont val="Arial"/>
        <family val="0"/>
        <charset val="1"/>
      </rPr>
      <t xml:space="preserve">1</t>
    </r>
    <r>
      <rPr>
        <b val="true"/>
        <sz val="13"/>
        <color rgb="FF1F3864"/>
        <rFont val="Noto Sans CJK SC"/>
        <family val="2"/>
      </rPr>
      <t xml:space="preserve">〜</t>
    </r>
    <r>
      <rPr>
        <b val="true"/>
        <sz val="13"/>
        <color rgb="FF1F3864"/>
        <rFont val="Arial"/>
        <family val="0"/>
        <charset val="1"/>
      </rPr>
      <t xml:space="preserve">7</t>
    </r>
    <r>
      <rPr>
        <b val="true"/>
        <sz val="13"/>
        <color rgb="FF1F3864"/>
        <rFont val="Noto Sans CJK SC"/>
        <family val="2"/>
      </rPr>
      <t xml:space="preserve">月</t>
    </r>
  </si>
  <si>
    <r>
      <rPr>
        <i val="true"/>
        <sz val="8.5"/>
        <color rgb="FF666666"/>
        <rFont val="Noto Sans CJK SC"/>
        <family val="2"/>
      </rPr>
      <t xml:space="preserve">出所：</t>
    </r>
    <r>
      <rPr>
        <i val="true"/>
        <sz val="8.5"/>
        <color rgb="FF666666"/>
        <rFont val="Arial"/>
        <family val="0"/>
        <charset val="1"/>
      </rPr>
      <t xml:space="preserve">BEI_</t>
    </r>
    <r>
      <rPr>
        <i val="true"/>
        <sz val="8.5"/>
        <color rgb="FF666666"/>
        <rFont val="Noto Sans CJK SC"/>
        <family val="2"/>
      </rPr>
      <t xml:space="preserve">材料製品</t>
    </r>
    <r>
      <rPr>
        <i val="true"/>
        <sz val="8.5"/>
        <color rgb="FF666666"/>
        <rFont val="Arial"/>
        <family val="0"/>
        <charset val="1"/>
      </rPr>
      <t xml:space="preserve">_</t>
    </r>
    <r>
      <rPr>
        <i val="true"/>
        <sz val="8.5"/>
        <color rgb="FF666666"/>
        <rFont val="Noto Sans CJK SC"/>
        <family val="2"/>
      </rPr>
      <t xml:space="preserve">値上げ影響と価格転嫁</t>
    </r>
    <r>
      <rPr>
        <i val="true"/>
        <sz val="8.5"/>
        <color rgb="FF666666"/>
        <rFont val="Arial"/>
        <family val="0"/>
        <charset val="1"/>
      </rPr>
      <t xml:space="preserve">_2025-2026.xlsx</t>
    </r>
    <r>
      <rPr>
        <i val="true"/>
        <sz val="8.5"/>
        <color rgb="FF666666"/>
        <rFont val="Noto Sans CJK SC"/>
        <family val="2"/>
      </rPr>
      <t xml:space="preserve">「サマリ</t>
    </r>
    <r>
      <rPr>
        <i val="true"/>
        <sz val="8.5"/>
        <color rgb="FF666666"/>
        <rFont val="Arial"/>
        <family val="0"/>
        <charset val="1"/>
      </rPr>
      <t xml:space="preserve">_</t>
    </r>
    <r>
      <rPr>
        <i val="true"/>
        <sz val="8.5"/>
        <color rgb="FF666666"/>
        <rFont val="Noto Sans CJK SC"/>
        <family val="2"/>
      </rPr>
      <t xml:space="preserve">製品」「サマリ</t>
    </r>
    <r>
      <rPr>
        <i val="true"/>
        <sz val="8.5"/>
        <color rgb="FF666666"/>
        <rFont val="Arial"/>
        <family val="0"/>
        <charset val="1"/>
      </rPr>
      <t xml:space="preserve">_</t>
    </r>
    <r>
      <rPr>
        <i val="true"/>
        <sz val="8.5"/>
        <color rgb="FF666666"/>
        <rFont val="Noto Sans CJK SC"/>
        <family val="2"/>
      </rPr>
      <t xml:space="preserve">販売先別」「転嫁サマリ」。セグメント：二輪／</t>
    </r>
    <r>
      <rPr>
        <i val="true"/>
        <sz val="8.5"/>
        <color rgb="FF666666"/>
        <rFont val="Arial"/>
        <family val="0"/>
        <charset val="1"/>
      </rPr>
      <t xml:space="preserve">HE</t>
    </r>
    <r>
      <rPr>
        <i val="true"/>
        <sz val="8.5"/>
        <color rgb="FF666666"/>
        <rFont val="Noto Sans CJK SC"/>
        <family val="2"/>
      </rPr>
      <t xml:space="preserve">国内／</t>
    </r>
    <r>
      <rPr>
        <i val="true"/>
        <sz val="8.5"/>
        <color rgb="FF666666"/>
        <rFont val="Arial"/>
        <family val="0"/>
        <charset val="1"/>
      </rPr>
      <t xml:space="preserve">HE</t>
    </r>
    <r>
      <rPr>
        <i val="true"/>
        <sz val="8.5"/>
        <color rgb="FF666666"/>
        <rFont val="Noto Sans CJK SC"/>
        <family val="2"/>
      </rPr>
      <t xml:space="preserve">輸出（輸出のうち</t>
    </r>
    <r>
      <rPr>
        <i val="true"/>
        <sz val="8.5"/>
        <color rgb="FF666666"/>
        <rFont val="Arial"/>
        <family val="0"/>
        <charset val="1"/>
      </rPr>
      <t xml:space="preserve">TB BANSHU ELECTRIC EQUIPMENT</t>
    </r>
    <r>
      <rPr>
        <i val="true"/>
        <sz val="8.5"/>
        <color rgb="FF666666"/>
        <rFont val="Noto Sans CJK SC"/>
        <family val="2"/>
      </rPr>
      <t xml:space="preserve">＝</t>
    </r>
    <r>
      <rPr>
        <i val="true"/>
        <sz val="8.5"/>
        <color rgb="FF666666"/>
        <rFont val="Arial"/>
        <family val="0"/>
        <charset val="1"/>
      </rPr>
      <t xml:space="preserve">BEE</t>
    </r>
    <r>
      <rPr>
        <i val="true"/>
        <sz val="8.5"/>
        <color rgb="FF666666"/>
        <rFont val="Noto Sans CJK SC"/>
        <family val="2"/>
      </rPr>
      <t xml:space="preserve">向けが最大販売先）。通貨</t>
    </r>
    <r>
      <rPr>
        <i val="true"/>
        <sz val="8.5"/>
        <color rgb="FF666666"/>
        <rFont val="Arial"/>
        <family val="0"/>
        <charset val="1"/>
      </rPr>
      <t xml:space="preserve">IDR</t>
    </r>
    <r>
      <rPr>
        <i val="true"/>
        <sz val="8.5"/>
        <color rgb="FF666666"/>
        <rFont val="Noto Sans CJK SC"/>
        <family val="2"/>
      </rPr>
      <t xml:space="preserve">・百万</t>
    </r>
    <r>
      <rPr>
        <i val="true"/>
        <sz val="8.5"/>
        <color rgb="FF666666"/>
        <rFont val="Arial"/>
        <family val="0"/>
        <charset val="1"/>
      </rPr>
      <t xml:space="preserve">IDR</t>
    </r>
    <r>
      <rPr>
        <i val="true"/>
        <sz val="8.5"/>
        <color rgb="FF666666"/>
        <rFont val="Noto Sans CJK SC"/>
        <family val="2"/>
      </rPr>
      <t xml:space="preserve">。累計率＝累計影響</t>
    </r>
    <r>
      <rPr>
        <i val="true"/>
        <sz val="8.5"/>
        <color rgb="FF666666"/>
        <rFont val="Arial"/>
        <family val="0"/>
        <charset val="1"/>
      </rPr>
      <t xml:space="preserve">÷</t>
    </r>
    <r>
      <rPr>
        <i val="true"/>
        <sz val="8.5"/>
        <color rgb="FF666666"/>
        <rFont val="Noto Sans CJK SC"/>
        <family val="2"/>
      </rPr>
      <t xml:space="preserve">売上額、</t>
    </r>
    <r>
      <rPr>
        <i val="true"/>
        <sz val="8.5"/>
        <color rgb="FF666666"/>
        <rFont val="Arial"/>
        <family val="0"/>
        <charset val="1"/>
      </rPr>
      <t xml:space="preserve">7</t>
    </r>
    <r>
      <rPr>
        <i val="true"/>
        <sz val="8.5"/>
        <color rgb="FF666666"/>
        <rFont val="Noto Sans CJK SC"/>
        <family val="2"/>
      </rPr>
      <t xml:space="preserve">月率＝</t>
    </r>
    <r>
      <rPr>
        <i val="true"/>
        <sz val="8.5"/>
        <color rgb="FF666666"/>
        <rFont val="Arial"/>
        <family val="0"/>
        <charset val="1"/>
      </rPr>
      <t xml:space="preserve">7</t>
    </r>
    <r>
      <rPr>
        <i val="true"/>
        <sz val="8.5"/>
        <color rgb="FF666666"/>
        <rFont val="Noto Sans CJK SC"/>
        <family val="2"/>
      </rPr>
      <t xml:space="preserve">月影響</t>
    </r>
    <r>
      <rPr>
        <i val="true"/>
        <sz val="8.5"/>
        <color rgb="FF666666"/>
        <rFont val="Arial"/>
        <family val="0"/>
        <charset val="1"/>
      </rPr>
      <t xml:space="preserve">÷7</t>
    </r>
    <r>
      <rPr>
        <i val="true"/>
        <sz val="8.5"/>
        <color rgb="FF666666"/>
        <rFont val="Noto Sans CJK SC"/>
        <family val="2"/>
      </rPr>
      <t xml:space="preserve">月売上額。</t>
    </r>
  </si>
  <si>
    <r>
      <rPr>
        <b val="true"/>
        <sz val="13"/>
        <color rgb="FF1F3864"/>
        <rFont val="Noto Sans CJK SC"/>
        <family val="2"/>
      </rPr>
      <t xml:space="preserve">セグメント別 価格転嫁サマリー（対 材料インパクト率、</t>
    </r>
    <r>
      <rPr>
        <b val="true"/>
        <sz val="13"/>
        <color rgb="FF1F3864"/>
        <rFont val="Arial"/>
        <family val="0"/>
        <charset val="1"/>
      </rPr>
      <t xml:space="preserve">2026</t>
    </r>
    <r>
      <rPr>
        <b val="true"/>
        <sz val="13"/>
        <color rgb="FF1F3864"/>
        <rFont val="Noto Sans CJK SC"/>
        <family val="2"/>
      </rPr>
      <t xml:space="preserve">年</t>
    </r>
    <r>
      <rPr>
        <b val="true"/>
        <sz val="13"/>
        <color rgb="FF1F3864"/>
        <rFont val="Arial"/>
        <family val="0"/>
        <charset val="1"/>
      </rPr>
      <t xml:space="preserve">1</t>
    </r>
    <r>
      <rPr>
        <b val="true"/>
        <sz val="13"/>
        <color rgb="FF1F3864"/>
        <rFont val="Noto Sans CJK SC"/>
        <family val="2"/>
      </rPr>
      <t xml:space="preserve">〜</t>
    </r>
    <r>
      <rPr>
        <b val="true"/>
        <sz val="13"/>
        <color rgb="FF1F3864"/>
        <rFont val="Arial"/>
        <family val="0"/>
        <charset val="1"/>
      </rPr>
      <t xml:space="preserve">7</t>
    </r>
    <r>
      <rPr>
        <b val="true"/>
        <sz val="13"/>
        <color rgb="FF1F3864"/>
        <rFont val="Noto Sans CJK SC"/>
        <family val="2"/>
      </rPr>
      <t xml:space="preserve">月）</t>
    </r>
  </si>
  <si>
    <t xml:space="preserve">材料仕入額</t>
  </si>
  <si>
    <t xml:space="preserve">材料純増額</t>
  </si>
  <si>
    <t xml:space="preserve">材料インパクト率</t>
  </si>
  <si>
    <t xml:space="preserve">製品売上額</t>
  </si>
  <si>
    <t xml:space="preserve">製品純増額</t>
  </si>
  <si>
    <t xml:space="preserve">製品インパクト率</t>
  </si>
  <si>
    <t xml:space="preserve">合計</t>
  </si>
  <si>
    <r>
      <rPr>
        <i val="true"/>
        <sz val="8.5"/>
        <color rgb="FF666666"/>
        <rFont val="Noto Sans CJK SC"/>
        <family val="2"/>
      </rPr>
      <t xml:space="preserve">材料インパクト率が製品インパクト率を上回っている＝価格転嫁が材料費上昇に追いついていない状態。</t>
    </r>
    <r>
      <rPr>
        <i val="true"/>
        <sz val="8.5"/>
        <color rgb="FF666666"/>
        <rFont val="Arial"/>
        <family val="0"/>
        <charset val="1"/>
      </rPr>
      <t xml:space="preserve">3</t>
    </r>
    <r>
      <rPr>
        <i val="true"/>
        <sz val="8.5"/>
        <color rgb="FF666666"/>
        <rFont val="Noto Sans CJK SC"/>
        <family val="2"/>
      </rPr>
      <t xml:space="preserve">セグメントいずれも材料インパクト率（</t>
    </r>
    <r>
      <rPr>
        <i val="true"/>
        <sz val="8.5"/>
        <color rgb="FF666666"/>
        <rFont val="Arial"/>
        <family val="0"/>
        <charset val="1"/>
      </rPr>
      <t xml:space="preserve">7.2</t>
    </r>
    <r>
      <rPr>
        <i val="true"/>
        <sz val="8.5"/>
        <color rgb="FF666666"/>
        <rFont val="Noto Sans CJK SC"/>
        <family val="2"/>
      </rPr>
      <t xml:space="preserve">〜</t>
    </r>
    <r>
      <rPr>
        <i val="true"/>
        <sz val="8.5"/>
        <color rgb="FF666666"/>
        <rFont val="Arial"/>
        <family val="0"/>
        <charset val="1"/>
      </rPr>
      <t xml:space="preserve">9.7%</t>
    </r>
    <r>
      <rPr>
        <i val="true"/>
        <sz val="8.5"/>
        <color rgb="FF666666"/>
        <rFont val="Noto Sans CJK SC"/>
        <family val="2"/>
      </rPr>
      <t xml:space="preserve">）が製品インパクト率（</t>
    </r>
    <r>
      <rPr>
        <i val="true"/>
        <sz val="8.5"/>
        <color rgb="FF666666"/>
        <rFont val="Arial"/>
        <family val="0"/>
        <charset val="1"/>
      </rPr>
      <t xml:space="preserve">0.7</t>
    </r>
    <r>
      <rPr>
        <i val="true"/>
        <sz val="8.5"/>
        <color rgb="FF666666"/>
        <rFont val="Noto Sans CJK SC"/>
        <family val="2"/>
      </rPr>
      <t xml:space="preserve">〜</t>
    </r>
    <r>
      <rPr>
        <i val="true"/>
        <sz val="8.5"/>
        <color rgb="FF666666"/>
        <rFont val="Arial"/>
        <family val="0"/>
        <charset val="1"/>
      </rPr>
      <t xml:space="preserve">1.4%</t>
    </r>
    <r>
      <rPr>
        <i val="true"/>
        <sz val="8.5"/>
        <color rgb="FF666666"/>
        <rFont val="Noto Sans CJK SC"/>
        <family val="2"/>
      </rPr>
      <t xml:space="preserve">）を大きく上回っており、</t>
    </r>
    <r>
      <rPr>
        <i val="true"/>
        <sz val="8.5"/>
        <color rgb="FF666666"/>
        <rFont val="Arial"/>
        <family val="0"/>
        <charset val="1"/>
      </rPr>
      <t xml:space="preserve">BEI</t>
    </r>
    <r>
      <rPr>
        <i val="true"/>
        <sz val="8.5"/>
        <color rgb="FF666666"/>
        <rFont val="Noto Sans CJK SC"/>
        <family val="2"/>
      </rPr>
      <t xml:space="preserve">は価格転嫁が全体的に遅れている。</t>
    </r>
  </si>
  <si>
    <r>
      <rPr>
        <b val="true"/>
        <sz val="13"/>
        <color rgb="FF1F3864"/>
        <rFont val="Noto Sans CJK SC"/>
        <family val="2"/>
      </rPr>
      <t xml:space="preserve">主要販売先別　値上げ／値下げ　月次サマリー（百万</t>
    </r>
    <r>
      <rPr>
        <b val="true"/>
        <sz val="13"/>
        <color rgb="FF1F3864"/>
        <rFont val="Arial"/>
        <family val="0"/>
        <charset val="1"/>
      </rPr>
      <t xml:space="preserve">IDR</t>
    </r>
    <r>
      <rPr>
        <b val="true"/>
        <sz val="13"/>
        <color rgb="FF1F3864"/>
        <rFont val="Noto Sans CJK SC"/>
        <family val="2"/>
      </rPr>
      <t xml:space="preserve">、上位</t>
    </r>
    <r>
      <rPr>
        <b val="true"/>
        <sz val="13"/>
        <color rgb="FF1F3864"/>
        <rFont val="Arial"/>
        <family val="0"/>
        <charset val="1"/>
      </rPr>
      <t xml:space="preserve">11</t>
    </r>
    <r>
      <rPr>
        <b val="true"/>
        <sz val="13"/>
        <color rgb="FF1F3864"/>
        <rFont val="Noto Sans CJK SC"/>
        <family val="2"/>
      </rPr>
      <t xml:space="preserve">社＋合計）</t>
    </r>
  </si>
  <si>
    <t xml:space="preserve">販売先</t>
  </si>
  <si>
    <t xml:space="preserve">PT. ASTRA HONDA MOTOR</t>
  </si>
  <si>
    <t xml:space="preserve">TB BANSHU ELECTRIC EQUIPTMENT, CO. LTD.</t>
  </si>
  <si>
    <t xml:space="preserve">PT. HITACHI CONSTRUCTION MACHINERY INDONESIA</t>
  </si>
  <si>
    <t xml:space="preserve">PT. MINDA ASEAN AUTOMOTIVE</t>
  </si>
  <si>
    <t xml:space="preserve">PT. KAWASAKI MOTOR INDONESIA</t>
  </si>
  <si>
    <t xml:space="preserve">PT. TIGA SAKTI ADHIMULIA</t>
  </si>
  <si>
    <t xml:space="preserve">PT. SAKAI INDONESIA</t>
  </si>
  <si>
    <t xml:space="preserve">PT. SUZUKI INDOMOBIL MOTOR</t>
  </si>
  <si>
    <t xml:space="preserve">PT. SUMITOMO CONSTRUCTION MACHINERY INDONESIA</t>
  </si>
  <si>
    <t xml:space="preserve">合計（全販売先）</t>
  </si>
  <si>
    <r>
      <rPr>
        <i val="true"/>
        <sz val="8.5"/>
        <color rgb="FF666666"/>
        <rFont val="Noto Sans CJK SC"/>
        <family val="2"/>
      </rPr>
      <t xml:space="preserve">最大販売先は</t>
    </r>
    <r>
      <rPr>
        <i val="true"/>
        <sz val="8.5"/>
        <color rgb="FF666666"/>
        <rFont val="Arial"/>
        <family val="0"/>
        <charset val="1"/>
      </rPr>
      <t xml:space="preserve">PT. ASTRA HONDA MOTOR</t>
    </r>
    <r>
      <rPr>
        <i val="true"/>
        <sz val="8.5"/>
        <color rgb="FF666666"/>
        <rFont val="Noto Sans CJK SC"/>
        <family val="2"/>
      </rPr>
      <t xml:space="preserve">（二輪、売上</t>
    </r>
    <r>
      <rPr>
        <i val="true"/>
        <sz val="8.5"/>
        <color rgb="FF666666"/>
        <rFont val="Arial"/>
        <family val="0"/>
        <charset val="1"/>
      </rPr>
      <t xml:space="preserve">211,685</t>
    </r>
    <r>
      <rPr>
        <i val="true"/>
        <sz val="8.5"/>
        <color rgb="FF666666"/>
        <rFont val="Noto Sans CJK SC"/>
        <family val="2"/>
      </rPr>
      <t xml:space="preserve">百万</t>
    </r>
    <r>
      <rPr>
        <i val="true"/>
        <sz val="8.5"/>
        <color rgb="FF666666"/>
        <rFont val="Arial"/>
        <family val="0"/>
        <charset val="1"/>
      </rPr>
      <t xml:space="preserve">IDR</t>
    </r>
    <r>
      <rPr>
        <i val="true"/>
        <sz val="8.5"/>
        <color rgb="FF666666"/>
        <rFont val="Noto Sans CJK SC"/>
        <family val="2"/>
      </rPr>
      <t xml:space="preserve">）と</t>
    </r>
    <r>
      <rPr>
        <i val="true"/>
        <sz val="8.5"/>
        <color rgb="FF666666"/>
        <rFont val="Arial"/>
        <family val="0"/>
        <charset val="1"/>
      </rPr>
      <t xml:space="preserve">TB BANSHU ELECTRIC EQUIPMENT</t>
    </r>
    <r>
      <rPr>
        <i val="true"/>
        <sz val="8.5"/>
        <color rgb="FF666666"/>
        <rFont val="Noto Sans CJK SC"/>
        <family val="2"/>
      </rPr>
      <t xml:space="preserve">（</t>
    </r>
    <r>
      <rPr>
        <i val="true"/>
        <sz val="8.5"/>
        <color rgb="FF666666"/>
        <rFont val="Arial"/>
        <family val="0"/>
        <charset val="1"/>
      </rPr>
      <t xml:space="preserve">HE</t>
    </r>
    <r>
      <rPr>
        <i val="true"/>
        <sz val="8.5"/>
        <color rgb="FF666666"/>
        <rFont val="Noto Sans CJK SC"/>
        <family val="2"/>
      </rPr>
      <t xml:space="preserve">輸出、</t>
    </r>
    <r>
      <rPr>
        <i val="true"/>
        <sz val="8.5"/>
        <color rgb="FF666666"/>
        <rFont val="Arial"/>
        <family val="0"/>
        <charset val="1"/>
      </rPr>
      <t xml:space="preserve">BEE</t>
    </r>
    <r>
      <rPr>
        <i val="true"/>
        <sz val="8.5"/>
        <color rgb="FF666666"/>
        <rFont val="Noto Sans CJK SC"/>
        <family val="2"/>
      </rPr>
      <t xml:space="preserve">向け、売上</t>
    </r>
    <r>
      <rPr>
        <i val="true"/>
        <sz val="8.5"/>
        <color rgb="FF666666"/>
        <rFont val="Arial"/>
        <family val="0"/>
        <charset val="1"/>
      </rPr>
      <t xml:space="preserve">205,695</t>
    </r>
    <r>
      <rPr>
        <i val="true"/>
        <sz val="8.5"/>
        <color rgb="FF666666"/>
        <rFont val="Noto Sans CJK SC"/>
        <family val="2"/>
      </rPr>
      <t xml:space="preserve">百万</t>
    </r>
    <r>
      <rPr>
        <i val="true"/>
        <sz val="8.5"/>
        <color rgb="FF666666"/>
        <rFont val="Arial"/>
        <family val="0"/>
        <charset val="1"/>
      </rPr>
      <t xml:space="preserve">IDR</t>
    </r>
    <r>
      <rPr>
        <i val="true"/>
        <sz val="8.5"/>
        <color rgb="FF666666"/>
        <rFont val="Noto Sans CJK SC"/>
        <family val="2"/>
      </rPr>
      <t xml:space="preserve">）。</t>
    </r>
    <r>
      <rPr>
        <i val="true"/>
        <sz val="8.5"/>
        <color rgb="FF666666"/>
        <rFont val="Arial"/>
        <family val="0"/>
        <charset val="1"/>
      </rPr>
      <t xml:space="preserve">TB BANSHU ELECTRIC EQUIPMENT</t>
    </r>
    <r>
      <rPr>
        <i val="true"/>
        <sz val="8.5"/>
        <color rgb="FF666666"/>
        <rFont val="Noto Sans CJK SC"/>
        <family val="2"/>
      </rPr>
      <t xml:space="preserve">は</t>
    </r>
    <r>
      <rPr>
        <i val="true"/>
        <sz val="8.5"/>
        <color rgb="FF666666"/>
        <rFont val="Arial"/>
        <family val="0"/>
        <charset val="1"/>
      </rPr>
      <t xml:space="preserve">7</t>
    </r>
    <r>
      <rPr>
        <i val="true"/>
        <sz val="8.5"/>
        <color rgb="FF666666"/>
        <rFont val="Noto Sans CJK SC"/>
        <family val="2"/>
      </rPr>
      <t xml:space="preserve">月に純減▲</t>
    </r>
    <r>
      <rPr>
        <i val="true"/>
        <sz val="8.5"/>
        <color rgb="FF666666"/>
        <rFont val="Arial"/>
        <family val="0"/>
        <charset val="1"/>
      </rPr>
      <t xml:space="preserve">1,523</t>
    </r>
    <r>
      <rPr>
        <i val="true"/>
        <sz val="8.5"/>
        <color rgb="FF666666"/>
        <rFont val="Noto Sans CJK SC"/>
        <family val="2"/>
      </rPr>
      <t xml:space="preserve">百万</t>
    </r>
    <r>
      <rPr>
        <i val="true"/>
        <sz val="8.5"/>
        <color rgb="FF666666"/>
        <rFont val="Arial"/>
        <family val="0"/>
        <charset val="1"/>
      </rPr>
      <t xml:space="preserve">IDR</t>
    </r>
    <r>
      <rPr>
        <i val="true"/>
        <sz val="8.5"/>
        <color rgb="FF666666"/>
        <rFont val="Noto Sans CJK SC"/>
        <family val="2"/>
      </rPr>
      <t xml:space="preserve">（値下げ計上）となっており、</t>
    </r>
    <r>
      <rPr>
        <i val="true"/>
        <sz val="8.5"/>
        <color rgb="FF666666"/>
        <rFont val="Arial"/>
        <family val="0"/>
        <charset val="1"/>
      </rPr>
      <t xml:space="preserve">BEE</t>
    </r>
    <r>
      <rPr>
        <i val="true"/>
        <sz val="8.5"/>
        <color rgb="FF666666"/>
        <rFont val="Noto Sans CJK SC"/>
        <family val="2"/>
      </rPr>
      <t xml:space="preserve">向け出荷価格の見直し状況を要確認。</t>
    </r>
  </si>
  <si>
    <r>
      <rPr>
        <b val="true"/>
        <sz val="13"/>
        <color rgb="FF1F3864"/>
        <rFont val="Arial"/>
        <family val="0"/>
        <charset val="1"/>
      </rPr>
      <t xml:space="preserve">③2026</t>
    </r>
    <r>
      <rPr>
        <b val="true"/>
        <sz val="13"/>
        <color rgb="FF1F3864"/>
        <rFont val="Noto Sans CJK SC"/>
        <family val="2"/>
      </rPr>
      <t xml:space="preserve">年下期（</t>
    </r>
    <r>
      <rPr>
        <b val="true"/>
        <sz val="13"/>
        <color rgb="FF1F3864"/>
        <rFont val="Arial"/>
        <family val="0"/>
        <charset val="1"/>
      </rPr>
      <t xml:space="preserve">10</t>
    </r>
    <r>
      <rPr>
        <b val="true"/>
        <sz val="13"/>
        <color rgb="FF1F3864"/>
        <rFont val="Noto Sans CJK SC"/>
        <family val="2"/>
      </rPr>
      <t xml:space="preserve">月〜</t>
    </r>
    <r>
      <rPr>
        <b val="true"/>
        <sz val="13"/>
        <color rgb="FF1F3864"/>
        <rFont val="Arial"/>
        <family val="0"/>
        <charset val="1"/>
      </rPr>
      <t xml:space="preserve">27</t>
    </r>
    <r>
      <rPr>
        <b val="true"/>
        <sz val="13"/>
        <color rgb="FF1F3864"/>
        <rFont val="Noto Sans CJK SC"/>
        <family val="2"/>
      </rPr>
      <t xml:space="preserve">年</t>
    </r>
    <r>
      <rPr>
        <b val="true"/>
        <sz val="13"/>
        <color rgb="FF1F3864"/>
        <rFont val="Arial"/>
        <family val="0"/>
        <charset val="1"/>
      </rPr>
      <t xml:space="preserve">3</t>
    </r>
    <r>
      <rPr>
        <b val="true"/>
        <sz val="13"/>
        <color rgb="FF1F3864"/>
        <rFont val="Noto Sans CJK SC"/>
        <family val="2"/>
      </rPr>
      <t xml:space="preserve">月）値上げ交渉スケジュール　</t>
    </r>
    <r>
      <rPr>
        <b val="true"/>
        <sz val="13"/>
        <color rgb="FF1F3864"/>
        <rFont val="Arial"/>
        <family val="0"/>
        <charset val="1"/>
      </rPr>
      <t xml:space="preserve">BEE</t>
    </r>
  </si>
  <si>
    <r>
      <rPr>
        <i val="true"/>
        <sz val="8.5"/>
        <color rgb="FF666666"/>
        <rFont val="Noto Sans CJK SC"/>
        <family val="2"/>
      </rPr>
      <t xml:space="preserve">出所：</t>
    </r>
    <r>
      <rPr>
        <i val="true"/>
        <sz val="8.5"/>
        <color rgb="FF666666"/>
        <rFont val="Arial"/>
        <family val="0"/>
        <charset val="1"/>
      </rPr>
      <t xml:space="preserve">10_1</t>
    </r>
    <r>
      <rPr>
        <i val="true"/>
        <sz val="8.5"/>
        <color rgb="FF666666"/>
        <rFont val="Noto Sans CJK SC"/>
        <family val="2"/>
      </rPr>
      <t xml:space="preserve">建機値上予定情報</t>
    </r>
    <r>
      <rPr>
        <i val="true"/>
        <sz val="8.5"/>
        <color rgb="FF666666"/>
        <rFont val="Arial"/>
        <family val="0"/>
        <charset val="1"/>
      </rPr>
      <t xml:space="preserve">.png</t>
    </r>
    <r>
      <rPr>
        <i val="true"/>
        <sz val="8.5"/>
        <color rgb="FF666666"/>
        <rFont val="Noto Sans CJK SC"/>
        <family val="2"/>
      </rPr>
      <t xml:space="preserve">（値上げ交渉スケジュール表）および大塚さんからの連絡（最新確定情報）。「特別値上げ対象」は原資料でチェックが付された</t>
    </r>
    <r>
      <rPr>
        <i val="true"/>
        <sz val="8.5"/>
        <color rgb="FF666666"/>
        <rFont val="Arial"/>
        <family val="0"/>
        <charset val="1"/>
      </rPr>
      <t xml:space="preserve">6</t>
    </r>
    <r>
      <rPr>
        <i val="true"/>
        <sz val="8.5"/>
        <color rgb="FF666666"/>
        <rFont val="Noto Sans CJK SC"/>
        <family val="2"/>
      </rPr>
      <t xml:space="preserve">社。</t>
    </r>
  </si>
  <si>
    <r>
      <rPr>
        <b val="true"/>
        <sz val="13"/>
        <color rgb="FF1F3864"/>
        <rFont val="Noto Sans CJK SC"/>
        <family val="2"/>
      </rPr>
      <t xml:space="preserve">【最新確定情報】大塚さんより連絡（国内販売価格・部品</t>
    </r>
    <r>
      <rPr>
        <b val="true"/>
        <sz val="13"/>
        <color rgb="FF1F3864"/>
        <rFont val="Arial"/>
        <family val="0"/>
        <charset val="1"/>
      </rPr>
      <t xml:space="preserve">/</t>
    </r>
    <r>
      <rPr>
        <b val="true"/>
        <sz val="13"/>
        <color rgb="FF1F3864"/>
        <rFont val="Noto Sans CJK SC"/>
        <family val="2"/>
      </rPr>
      <t xml:space="preserve">銅の値上げ、主要顧客分）</t>
    </r>
  </si>
  <si>
    <t xml:space="preserve">時期</t>
  </si>
  <si>
    <r>
      <rPr>
        <b val="true"/>
        <sz val="10"/>
        <color rgb="FFFFFFFF"/>
        <rFont val="Noto Sans CJK SC"/>
        <family val="2"/>
      </rPr>
      <t xml:space="preserve">月次増加額（確定</t>
    </r>
    <r>
      <rPr>
        <b val="true"/>
        <sz val="10"/>
        <color rgb="FFFFFFFF"/>
        <rFont val="Arial"/>
        <family val="0"/>
        <charset val="1"/>
      </rPr>
      <t xml:space="preserve">/</t>
    </r>
    <r>
      <rPr>
        <b val="true"/>
        <sz val="10"/>
        <color rgb="FFFFFFFF"/>
        <rFont val="Noto Sans CJK SC"/>
        <family val="2"/>
      </rPr>
      <t xml:space="preserve">見込）</t>
    </r>
  </si>
  <si>
    <t xml:space="preserve">備考</t>
  </si>
  <si>
    <r>
      <rPr>
        <sz val="10"/>
        <rFont val="Arial"/>
        <family val="0"/>
        <charset val="1"/>
      </rPr>
      <t xml:space="preserve">10</t>
    </r>
    <r>
      <rPr>
        <sz val="10"/>
        <rFont val="Noto Sans CJK SC"/>
        <family val="2"/>
      </rPr>
      <t xml:space="preserve">月〜</t>
    </r>
  </si>
  <si>
    <t xml:space="preserve">主要顧客の部品・銅の値上げが固まった分（確定）</t>
  </si>
  <si>
    <r>
      <rPr>
        <sz val="10"/>
        <rFont val="Arial"/>
        <family val="0"/>
        <charset val="1"/>
      </rPr>
      <t xml:space="preserve">11</t>
    </r>
    <r>
      <rPr>
        <sz val="10"/>
        <rFont val="Noto Sans CJK SC"/>
        <family val="2"/>
      </rPr>
      <t xml:space="preserve">月〜</t>
    </r>
  </si>
  <si>
    <r>
      <rPr>
        <sz val="10"/>
        <rFont val="Arial"/>
        <family val="0"/>
        <charset val="1"/>
      </rPr>
      <t xml:space="preserve">10</t>
    </r>
    <r>
      <rPr>
        <sz val="10"/>
        <rFont val="Noto Sans CJK SC"/>
        <family val="2"/>
      </rPr>
      <t xml:space="preserve">月分に追加の値上げが反映される見込み（確定見込）</t>
    </r>
  </si>
  <si>
    <r>
      <rPr>
        <sz val="10"/>
        <rFont val="Arial"/>
        <family val="0"/>
        <charset val="1"/>
      </rPr>
      <t xml:space="preserve">11</t>
    </r>
    <r>
      <rPr>
        <sz val="10"/>
        <rFont val="Noto Sans CJK SC"/>
        <family val="2"/>
      </rPr>
      <t xml:space="preserve">月〜（</t>
    </r>
    <r>
      <rPr>
        <sz val="10"/>
        <rFont val="Arial"/>
        <family val="0"/>
        <charset val="1"/>
      </rPr>
      <t xml:space="preserve">MAX</t>
    </r>
    <r>
      <rPr>
        <sz val="10"/>
        <rFont val="Noto Sans CJK SC"/>
        <family val="2"/>
      </rPr>
      <t xml:space="preserve">時）</t>
    </r>
  </si>
  <si>
    <r>
      <rPr>
        <sz val="10"/>
        <rFont val="Noto Sans CJK SC"/>
        <family val="2"/>
      </rPr>
      <t xml:space="preserve">上記に国内赤字品番・交渉中の企業分を加えた場合の上限目安（大幅な増加は見込まれず、</t>
    </r>
    <r>
      <rPr>
        <sz val="10"/>
        <rFont val="Arial"/>
        <family val="0"/>
        <charset val="1"/>
      </rPr>
      <t xml:space="preserve">MAX</t>
    </r>
    <r>
      <rPr>
        <sz val="10"/>
        <rFont val="Noto Sans CJK SC"/>
        <family val="2"/>
      </rPr>
      <t xml:space="preserve">概算）</t>
    </r>
  </si>
  <si>
    <r>
      <rPr>
        <i val="true"/>
        <sz val="8.5"/>
        <color rgb="FF666666"/>
        <rFont val="Noto Sans CJK SC"/>
        <family val="2"/>
      </rPr>
      <t xml:space="preserve">単位：万円</t>
    </r>
    <r>
      <rPr>
        <i val="true"/>
        <sz val="8.5"/>
        <color rgb="FF666666"/>
        <rFont val="Arial"/>
        <family val="0"/>
        <charset val="1"/>
      </rPr>
      <t xml:space="preserve">/</t>
    </r>
    <r>
      <rPr>
        <i val="true"/>
        <sz val="8.5"/>
        <color rgb="FF666666"/>
        <rFont val="Noto Sans CJK SC"/>
        <family val="2"/>
      </rPr>
      <t xml:space="preserve">月。下段の顧客別内訳表（</t>
    </r>
    <r>
      <rPr>
        <i val="true"/>
        <sz val="8.5"/>
        <color rgb="FF666666"/>
        <rFont val="Arial"/>
        <family val="0"/>
        <charset val="1"/>
      </rPr>
      <t xml:space="preserve">10</t>
    </r>
    <r>
      <rPr>
        <i val="true"/>
        <sz val="8.5"/>
        <color rgb="FF666666"/>
        <rFont val="Noto Sans CJK SC"/>
        <family val="2"/>
      </rPr>
      <t xml:space="preserve">月末時点の見積・交渉状況ベース、確定分合計</t>
    </r>
    <r>
      <rPr>
        <i val="true"/>
        <sz val="8.5"/>
        <color rgb="FF666666"/>
        <rFont val="Arial"/>
        <family val="0"/>
        <charset val="1"/>
      </rPr>
      <t xml:space="preserve">1,264</t>
    </r>
    <r>
      <rPr>
        <i val="true"/>
        <sz val="8.5"/>
        <color rgb="FF666666"/>
        <rFont val="Noto Sans CJK SC"/>
        <family val="2"/>
      </rPr>
      <t xml:space="preserve">万円</t>
    </r>
    <r>
      <rPr>
        <i val="true"/>
        <sz val="8.5"/>
        <color rgb="FF666666"/>
        <rFont val="Arial"/>
        <family val="0"/>
        <charset val="1"/>
      </rPr>
      <t xml:space="preserve">/</t>
    </r>
    <r>
      <rPr>
        <i val="true"/>
        <sz val="8.5"/>
        <color rgb="FF666666"/>
        <rFont val="Noto Sans CJK SC"/>
        <family val="2"/>
      </rPr>
      <t xml:space="preserve">月）は、この最新情報（</t>
    </r>
    <r>
      <rPr>
        <i val="true"/>
        <sz val="8.5"/>
        <color rgb="FF666666"/>
        <rFont val="Arial"/>
        <family val="0"/>
        <charset val="1"/>
      </rPr>
      <t xml:space="preserve">858</t>
    </r>
    <r>
      <rPr>
        <i val="true"/>
        <sz val="8.5"/>
        <color rgb="FF666666"/>
        <rFont val="Noto Sans CJK SC"/>
        <family val="2"/>
      </rPr>
      <t xml:space="preserve">万円→</t>
    </r>
    <r>
      <rPr>
        <i val="true"/>
        <sz val="8.5"/>
        <color rgb="FF666666"/>
        <rFont val="Arial"/>
        <family val="0"/>
        <charset val="1"/>
      </rPr>
      <t xml:space="preserve">1250</t>
    </r>
    <r>
      <rPr>
        <i val="true"/>
        <sz val="8.5"/>
        <color rgb="FF666666"/>
        <rFont val="Noto Sans CJK SC"/>
        <family val="2"/>
      </rPr>
      <t xml:space="preserve">万円、</t>
    </r>
    <r>
      <rPr>
        <i val="true"/>
        <sz val="8.5"/>
        <color rgb="FF666666"/>
        <rFont val="Arial"/>
        <family val="0"/>
        <charset val="1"/>
      </rPr>
      <t xml:space="preserve">MAX</t>
    </r>
    <r>
      <rPr>
        <i val="true"/>
        <sz val="8.5"/>
        <color rgb="FF666666"/>
        <rFont val="Noto Sans CJK SC"/>
        <family val="2"/>
      </rPr>
      <t xml:space="preserve">で</t>
    </r>
    <r>
      <rPr>
        <i val="true"/>
        <sz val="8.5"/>
        <color rgb="FF666666"/>
        <rFont val="Arial"/>
        <family val="0"/>
        <charset val="1"/>
      </rPr>
      <t xml:space="preserve">1500</t>
    </r>
    <r>
      <rPr>
        <i val="true"/>
        <sz val="8.5"/>
        <color rgb="FF666666"/>
        <rFont val="Noto Sans CJK SC"/>
        <family val="2"/>
      </rPr>
      <t xml:space="preserve">万円程度）とは集計時点・対象範囲が異なるため、金額に差異がある。経営会議では大塚さんからの本連絡を最新の確定情報として優先し、顧客別内訳表は交渉の進捗状況の参考として扱うことを推奨。</t>
    </r>
  </si>
  <si>
    <t xml:space="preserve">顧客別内訳（値上げ交渉スケジュール表ベース、参考）</t>
  </si>
  <si>
    <t xml:space="preserve">顧客名</t>
  </si>
  <si>
    <t xml:space="preserve">特別値上げ対象</t>
  </si>
  <si>
    <r>
      <rPr>
        <b val="true"/>
        <sz val="10"/>
        <color rgb="FFFFFFFF"/>
        <rFont val="Noto Sans CJK SC"/>
        <family val="2"/>
      </rPr>
      <t xml:space="preserve">見積提出予定日</t>
    </r>
    <r>
      <rPr>
        <b val="true"/>
        <sz val="10"/>
        <color rgb="FFFFFFFF"/>
        <rFont val="Arial"/>
        <family val="0"/>
        <charset val="1"/>
      </rPr>
      <t xml:space="preserve">/</t>
    </r>
    <r>
      <rPr>
        <b val="true"/>
        <sz val="10"/>
        <color rgb="FFFFFFFF"/>
        <rFont val="Noto Sans CJK SC"/>
        <family val="2"/>
      </rPr>
      <t xml:space="preserve">交渉状況</t>
    </r>
  </si>
  <si>
    <r>
      <rPr>
        <b val="true"/>
        <sz val="10"/>
        <color rgb="FFFFFFFF"/>
        <rFont val="Noto Sans CJK SC"/>
        <family val="2"/>
      </rPr>
      <t xml:space="preserve">下期効果予想額</t>
    </r>
    <r>
      <rPr>
        <b val="true"/>
        <sz val="10"/>
        <color rgb="FFFFFFFF"/>
        <rFont val="Arial"/>
        <family val="0"/>
        <charset val="1"/>
      </rPr>
      <t xml:space="preserve">(</t>
    </r>
    <r>
      <rPr>
        <b val="true"/>
        <sz val="10"/>
        <color rgb="FFFFFFFF"/>
        <rFont val="Noto Sans CJK SC"/>
        <family val="2"/>
      </rPr>
      <t xml:space="preserve">月額</t>
    </r>
    <r>
      <rPr>
        <b val="true"/>
        <sz val="10"/>
        <color rgb="FFFFFFFF"/>
        <rFont val="Arial"/>
        <family val="0"/>
        <charset val="1"/>
      </rPr>
      <t xml:space="preserve">,</t>
    </r>
    <r>
      <rPr>
        <b val="true"/>
        <sz val="10"/>
        <color rgb="FFFFFFFF"/>
        <rFont val="Noto Sans CJK SC"/>
        <family val="2"/>
      </rPr>
      <t xml:space="preserve">万円</t>
    </r>
    <r>
      <rPr>
        <b val="true"/>
        <sz val="10"/>
        <color rgb="FFFFFFFF"/>
        <rFont val="Arial"/>
        <family val="0"/>
        <charset val="1"/>
      </rPr>
      <t xml:space="preserve">)</t>
    </r>
  </si>
  <si>
    <t xml:space="preserve">内訳（原文記載）</t>
  </si>
  <si>
    <t xml:space="preserve">日立建機</t>
  </si>
  <si>
    <t xml:space="preserve">○</t>
  </si>
  <si>
    <t xml:space="preserve">10/1</t>
  </si>
  <si>
    <r>
      <rPr>
        <sz val="10"/>
        <rFont val="Noto Sans CJK SC"/>
        <family val="2"/>
      </rPr>
      <t xml:space="preserve">鋼</t>
    </r>
    <r>
      <rPr>
        <sz val="10"/>
        <rFont val="Arial"/>
        <family val="0"/>
        <charset val="1"/>
      </rPr>
      <t xml:space="preserve">462</t>
    </r>
    <r>
      <rPr>
        <sz val="10"/>
        <rFont val="Noto Sans CJK SC"/>
        <family val="2"/>
      </rPr>
      <t xml:space="preserve">万</t>
    </r>
    <r>
      <rPr>
        <sz val="10"/>
        <rFont val="Arial"/>
        <family val="0"/>
        <charset val="1"/>
      </rPr>
      <t xml:space="preserve">+</t>
    </r>
    <r>
      <rPr>
        <sz val="10"/>
        <rFont val="Noto Sans CJK SC"/>
        <family val="2"/>
      </rPr>
      <t xml:space="preserve">部品</t>
    </r>
    <r>
      <rPr>
        <sz val="10"/>
        <rFont val="Arial"/>
        <family val="0"/>
        <charset val="1"/>
      </rPr>
      <t xml:space="preserve">112</t>
    </r>
    <r>
      <rPr>
        <sz val="10"/>
        <rFont val="Noto Sans CJK SC"/>
        <family val="2"/>
      </rPr>
      <t xml:space="preserve">万</t>
    </r>
  </si>
  <si>
    <t xml:space="preserve">日立建機ティエラ</t>
  </si>
  <si>
    <r>
      <rPr>
        <sz val="10"/>
        <rFont val="Noto Sans CJK SC"/>
        <family val="2"/>
      </rPr>
      <t xml:space="preserve">鋼</t>
    </r>
    <r>
      <rPr>
        <sz val="10"/>
        <rFont val="Arial"/>
        <family val="0"/>
        <charset val="1"/>
      </rPr>
      <t xml:space="preserve">90</t>
    </r>
    <r>
      <rPr>
        <sz val="10"/>
        <rFont val="Noto Sans CJK SC"/>
        <family val="2"/>
      </rPr>
      <t xml:space="preserve">万</t>
    </r>
    <r>
      <rPr>
        <sz val="10"/>
        <rFont val="Arial"/>
        <family val="0"/>
        <charset val="1"/>
      </rPr>
      <t xml:space="preserve">+</t>
    </r>
    <r>
      <rPr>
        <sz val="10"/>
        <rFont val="Noto Sans CJK SC"/>
        <family val="2"/>
      </rPr>
      <t xml:space="preserve">部品</t>
    </r>
    <r>
      <rPr>
        <sz val="10"/>
        <rFont val="Arial"/>
        <family val="0"/>
        <charset val="1"/>
      </rPr>
      <t xml:space="preserve">20</t>
    </r>
    <r>
      <rPr>
        <sz val="10"/>
        <rFont val="Noto Sans CJK SC"/>
        <family val="2"/>
      </rPr>
      <t xml:space="preserve">万</t>
    </r>
  </si>
  <si>
    <t xml:space="preserve">コベルコ建機</t>
  </si>
  <si>
    <r>
      <rPr>
        <sz val="10"/>
        <rFont val="Arial"/>
        <family val="0"/>
        <charset val="1"/>
      </rPr>
      <t xml:space="preserve">10</t>
    </r>
    <r>
      <rPr>
        <sz val="10"/>
        <rFont val="Noto Sans CJK SC"/>
        <family val="2"/>
      </rPr>
      <t xml:space="preserve">月末頃〜</t>
    </r>
    <r>
      <rPr>
        <sz val="10"/>
        <rFont val="Arial"/>
        <family val="0"/>
        <charset val="1"/>
      </rPr>
      <t xml:space="preserve">11/1</t>
    </r>
  </si>
  <si>
    <t xml:space="preserve">鋼・部品合算</t>
  </si>
  <si>
    <t xml:space="preserve">CAT</t>
  </si>
  <si>
    <r>
      <rPr>
        <sz val="10"/>
        <rFont val="Noto Sans CJK SC"/>
        <family val="2"/>
      </rPr>
      <t xml:space="preserve">鋼</t>
    </r>
    <r>
      <rPr>
        <sz val="10"/>
        <rFont val="Arial"/>
        <family val="0"/>
        <charset val="1"/>
      </rPr>
      <t xml:space="preserve">150</t>
    </r>
    <r>
      <rPr>
        <sz val="10"/>
        <rFont val="Noto Sans CJK SC"/>
        <family val="2"/>
      </rPr>
      <t xml:space="preserve">万・部品</t>
    </r>
    <r>
      <rPr>
        <sz val="10"/>
        <rFont val="Arial"/>
        <family val="0"/>
        <charset val="1"/>
      </rPr>
      <t xml:space="preserve">66</t>
    </r>
    <r>
      <rPr>
        <sz val="10"/>
        <rFont val="Noto Sans CJK SC"/>
        <family val="2"/>
      </rPr>
      <t xml:space="preserve">万（原文ママ、合計と内訳に差異あり※要確認）</t>
    </r>
  </si>
  <si>
    <t xml:space="preserve">イチネンアクセス（住友）</t>
  </si>
  <si>
    <t xml:space="preserve">―</t>
  </si>
  <si>
    <r>
      <rPr>
        <sz val="10"/>
        <rFont val="Noto Sans CJK SC"/>
        <family val="2"/>
      </rPr>
      <t xml:space="preserve">鋼</t>
    </r>
    <r>
      <rPr>
        <sz val="10"/>
        <rFont val="Arial"/>
        <family val="0"/>
        <charset val="1"/>
      </rPr>
      <t xml:space="preserve">110</t>
    </r>
    <r>
      <rPr>
        <sz val="10"/>
        <rFont val="Noto Sans CJK SC"/>
        <family val="2"/>
      </rPr>
      <t xml:space="preserve">万</t>
    </r>
    <r>
      <rPr>
        <sz val="10"/>
        <rFont val="Arial"/>
        <family val="0"/>
        <charset val="1"/>
      </rPr>
      <t xml:space="preserve">+</t>
    </r>
    <r>
      <rPr>
        <sz val="10"/>
        <rFont val="Noto Sans CJK SC"/>
        <family val="2"/>
      </rPr>
      <t xml:space="preserve">部品</t>
    </r>
    <r>
      <rPr>
        <sz val="10"/>
        <rFont val="Arial"/>
        <family val="0"/>
        <charset val="1"/>
      </rPr>
      <t xml:space="preserve">30</t>
    </r>
    <r>
      <rPr>
        <sz val="10"/>
        <rFont val="Noto Sans CJK SC"/>
        <family val="2"/>
      </rPr>
      <t xml:space="preserve">万</t>
    </r>
  </si>
  <si>
    <t xml:space="preserve">竹内製作所</t>
  </si>
  <si>
    <t xml:space="preserve">コマツ</t>
  </si>
  <si>
    <t xml:space="preserve">加藤製作所</t>
  </si>
  <si>
    <t xml:space="preserve">日立建機カミーノ</t>
  </si>
  <si>
    <t xml:space="preserve">見積中</t>
  </si>
  <si>
    <t xml:space="preserve">住友クレーン</t>
  </si>
  <si>
    <t xml:space="preserve">ロジ</t>
  </si>
  <si>
    <t xml:space="preserve">三菱サーマル</t>
  </si>
  <si>
    <t xml:space="preserve">交渉中</t>
  </si>
  <si>
    <r>
      <rPr>
        <sz val="10"/>
        <rFont val="Arial"/>
        <family val="0"/>
        <charset val="1"/>
      </rPr>
      <t xml:space="preserve">ISUZU</t>
    </r>
    <r>
      <rPr>
        <sz val="10"/>
        <rFont val="Noto Sans CJK SC"/>
        <family val="2"/>
      </rPr>
      <t xml:space="preserve">自動車販売</t>
    </r>
  </si>
  <si>
    <t xml:space="preserve">未着手（要確認）</t>
  </si>
  <si>
    <t xml:space="preserve">大京</t>
  </si>
  <si>
    <t xml:space="preserve">トーハツマリン</t>
  </si>
  <si>
    <t xml:space="preserve">酒井重工業</t>
  </si>
  <si>
    <t xml:space="preserve">確定分 合計（月額）</t>
  </si>
  <si>
    <r>
      <rPr>
        <b val="true"/>
        <sz val="10"/>
        <rFont val="Noto Sans CJK SC"/>
        <family val="2"/>
      </rPr>
      <t xml:space="preserve">確定分 半期</t>
    </r>
    <r>
      <rPr>
        <b val="true"/>
        <sz val="10"/>
        <rFont val="Arial"/>
        <family val="0"/>
        <charset val="1"/>
      </rPr>
      <t xml:space="preserve">(6</t>
    </r>
    <r>
      <rPr>
        <b val="true"/>
        <sz val="10"/>
        <rFont val="Noto Sans CJK SC"/>
        <family val="2"/>
      </rPr>
      <t xml:space="preserve">ヶ月</t>
    </r>
    <r>
      <rPr>
        <b val="true"/>
        <sz val="10"/>
        <rFont val="Arial"/>
        <family val="0"/>
        <charset val="1"/>
      </rPr>
      <t xml:space="preserve">)</t>
    </r>
    <r>
      <rPr>
        <b val="true"/>
        <sz val="10"/>
        <rFont val="Noto Sans CJK SC"/>
        <family val="2"/>
      </rPr>
      <t xml:space="preserve">概算</t>
    </r>
  </si>
  <si>
    <r>
      <rPr>
        <i val="true"/>
        <sz val="8.5"/>
        <color rgb="FF666666"/>
        <rFont val="Noto Sans CJK SC"/>
        <family val="2"/>
      </rPr>
      <t xml:space="preserve">※コベルコ建機は</t>
    </r>
    <r>
      <rPr>
        <i val="true"/>
        <sz val="8.5"/>
        <color rgb="FF666666"/>
        <rFont val="Arial"/>
        <family val="0"/>
        <charset val="1"/>
      </rPr>
      <t xml:space="preserve">10</t>
    </r>
    <r>
      <rPr>
        <i val="true"/>
        <sz val="8.5"/>
        <color rgb="FF666666"/>
        <rFont val="Noto Sans CJK SC"/>
        <family val="2"/>
      </rPr>
      <t xml:space="preserve">月末〜</t>
    </r>
    <r>
      <rPr>
        <i val="true"/>
        <sz val="8.5"/>
        <color rgb="FF666666"/>
        <rFont val="Arial"/>
        <family val="0"/>
        <charset val="1"/>
      </rPr>
      <t xml:space="preserve">11</t>
    </r>
    <r>
      <rPr>
        <i val="true"/>
        <sz val="8.5"/>
        <color rgb="FF666666"/>
        <rFont val="Noto Sans CJK SC"/>
        <family val="2"/>
      </rPr>
      <t xml:space="preserve">月開始の可能性があり、確定分合計の単純</t>
    </r>
    <r>
      <rPr>
        <i val="true"/>
        <sz val="8.5"/>
        <color rgb="FF666666"/>
        <rFont val="Arial"/>
        <family val="0"/>
        <charset val="1"/>
      </rPr>
      <t xml:space="preserve">6</t>
    </r>
    <r>
      <rPr>
        <i val="true"/>
        <sz val="8.5"/>
        <color rgb="FF666666"/>
        <rFont val="Noto Sans CJK SC"/>
        <family val="2"/>
      </rPr>
      <t xml:space="preserve">ヶ月換算より下期実効額はやや小さくなる見込み。カミーノ・住友クレーン・ロジ・三菱サーマル・</t>
    </r>
    <r>
      <rPr>
        <i val="true"/>
        <sz val="8.5"/>
        <color rgb="FF666666"/>
        <rFont val="Arial"/>
        <family val="0"/>
        <charset val="1"/>
      </rPr>
      <t xml:space="preserve">ISUZU</t>
    </r>
    <r>
      <rPr>
        <i val="true"/>
        <sz val="8.5"/>
        <color rgb="FF666666"/>
        <rFont val="Noto Sans CJK SC"/>
        <family val="2"/>
      </rPr>
      <t xml:space="preserve">・大京・トーハツマリン・酒井重工業は未確定のため合計に含めていない。</t>
    </r>
  </si>
  <si>
    <r>
      <rPr>
        <b val="true"/>
        <sz val="13"/>
        <color rgb="FF1F3864"/>
        <rFont val="Arial"/>
        <family val="0"/>
        <charset val="1"/>
      </rPr>
      <t xml:space="preserve">③2026</t>
    </r>
    <r>
      <rPr>
        <b val="true"/>
        <sz val="13"/>
        <color rgb="FF1F3864"/>
        <rFont val="Noto Sans CJK SC"/>
        <family val="2"/>
      </rPr>
      <t xml:space="preserve">年下期　値上げ交渉スケジュール　</t>
    </r>
    <r>
      <rPr>
        <b val="true"/>
        <sz val="13"/>
        <color rgb="FF1F3864"/>
        <rFont val="Arial"/>
        <family val="0"/>
        <charset val="1"/>
      </rPr>
      <t xml:space="preserve">BEI</t>
    </r>
  </si>
  <si>
    <r>
      <rPr>
        <i val="true"/>
        <sz val="8.5"/>
        <color rgb="FF666666"/>
        <rFont val="Noto Sans CJK SC"/>
        <family val="2"/>
      </rPr>
      <t xml:space="preserve">現時点で</t>
    </r>
    <r>
      <rPr>
        <i val="true"/>
        <sz val="8.5"/>
        <color rgb="FF666666"/>
        <rFont val="Arial"/>
        <family val="0"/>
        <charset val="1"/>
      </rPr>
      <t xml:space="preserve">BEI</t>
    </r>
    <r>
      <rPr>
        <i val="true"/>
        <sz val="8.5"/>
        <color rgb="FF666666"/>
        <rFont val="Noto Sans CJK SC"/>
        <family val="2"/>
      </rPr>
      <t xml:space="preserve">（</t>
    </r>
    <r>
      <rPr>
        <i val="true"/>
        <sz val="8.5"/>
        <color rgb="FF666666"/>
        <rFont val="Arial"/>
        <family val="0"/>
        <charset val="1"/>
      </rPr>
      <t xml:space="preserve">PT.Banshu Electric Indonesia</t>
    </r>
    <r>
      <rPr>
        <i val="true"/>
        <sz val="8.5"/>
        <color rgb="FF666666"/>
        <rFont val="Noto Sans CJK SC"/>
        <family val="2"/>
      </rPr>
      <t xml:space="preserve">）の下期値上げ交渉スケジュールに関するデータは提供いただいた資料の中に含まれていません。</t>
    </r>
  </si>
  <si>
    <t xml:space="preserve">要確認事項</t>
  </si>
  <si>
    <r>
      <rPr>
        <sz val="11"/>
        <color theme="1"/>
        <rFont val="Noto Sans CJK SC"/>
        <family val="2"/>
      </rPr>
      <t xml:space="preserve">・</t>
    </r>
    <r>
      <rPr>
        <sz val="11"/>
        <color theme="1"/>
        <rFont val="Calibri"/>
        <family val="2"/>
        <charset val="1"/>
      </rPr>
      <t xml:space="preserve">BEI</t>
    </r>
    <r>
      <rPr>
        <sz val="11"/>
        <color theme="1"/>
        <rFont val="Noto Sans CJK SC"/>
        <family val="2"/>
      </rPr>
      <t xml:space="preserve">の主要販売先（</t>
    </r>
    <r>
      <rPr>
        <sz val="11"/>
        <color theme="1"/>
        <rFont val="Calibri"/>
        <family val="2"/>
        <charset val="1"/>
      </rPr>
      <t xml:space="preserve">PT. ASTRA HONDA MOTOR</t>
    </r>
    <r>
      <rPr>
        <sz val="11"/>
        <color theme="1"/>
        <rFont val="Noto Sans CJK SC"/>
        <family val="2"/>
      </rPr>
      <t xml:space="preserve">＝二輪、</t>
    </r>
    <r>
      <rPr>
        <sz val="11"/>
        <color theme="1"/>
        <rFont val="Calibri"/>
        <family val="2"/>
        <charset val="1"/>
      </rPr>
      <t xml:space="preserve">TB BANSHU ELECTRIC EQUIPMENT</t>
    </r>
    <r>
      <rPr>
        <sz val="11"/>
        <color theme="1"/>
        <rFont val="Noto Sans CJK SC"/>
        <family val="2"/>
      </rPr>
      <t xml:space="preserve">＝</t>
    </r>
    <r>
      <rPr>
        <sz val="11"/>
        <color theme="1"/>
        <rFont val="Calibri"/>
        <family val="2"/>
        <charset val="1"/>
      </rPr>
      <t xml:space="preserve">HE</t>
    </r>
    <r>
      <rPr>
        <sz val="11"/>
        <color theme="1"/>
        <rFont val="Noto Sans CJK SC"/>
        <family val="2"/>
      </rPr>
      <t xml:space="preserve">輸出で</t>
    </r>
    <r>
      <rPr>
        <sz val="11"/>
        <color theme="1"/>
        <rFont val="Calibri"/>
        <family val="2"/>
        <charset val="1"/>
      </rPr>
      <t xml:space="preserve">BEE</t>
    </r>
    <r>
      <rPr>
        <sz val="11"/>
        <color theme="1"/>
        <rFont val="Noto Sans CJK SC"/>
        <family val="2"/>
      </rPr>
      <t xml:space="preserve">向け、</t>
    </r>
    <r>
      <rPr>
        <sz val="11"/>
        <color theme="1"/>
        <rFont val="Calibri"/>
        <family val="2"/>
        <charset val="1"/>
      </rPr>
      <t xml:space="preserve">PT. HITACHI CONSTRUCTION MACHINERY INDONESIA</t>
    </r>
    <r>
      <rPr>
        <sz val="11"/>
        <color theme="1"/>
        <rFont val="Noto Sans CJK SC"/>
        <family val="2"/>
      </rPr>
      <t xml:space="preserve">・</t>
    </r>
    <r>
      <rPr>
        <sz val="11"/>
        <color theme="1"/>
        <rFont val="Calibri"/>
        <family val="2"/>
        <charset val="1"/>
      </rPr>
      <t xml:space="preserve">PT. SUMITOMO CONSTRUCTION MACHINERY INDONESIA</t>
    </r>
    <r>
      <rPr>
        <sz val="11"/>
        <color theme="1"/>
        <rFont val="Noto Sans CJK SC"/>
        <family val="2"/>
      </rPr>
      <t xml:space="preserve">・</t>
    </r>
    <r>
      <rPr>
        <sz val="11"/>
        <color theme="1"/>
        <rFont val="Calibri"/>
        <family val="2"/>
        <charset val="1"/>
      </rPr>
      <t xml:space="preserve">PT. KOMATSU INDONESIA</t>
    </r>
    <r>
      <rPr>
        <sz val="11"/>
        <color theme="1"/>
        <rFont val="Noto Sans CJK SC"/>
        <family val="2"/>
      </rPr>
      <t xml:space="preserve">等＝</t>
    </r>
    <r>
      <rPr>
        <sz val="11"/>
        <color theme="1"/>
        <rFont val="Calibri"/>
        <family val="2"/>
        <charset val="1"/>
      </rPr>
      <t xml:space="preserve">HE</t>
    </r>
    <r>
      <rPr>
        <sz val="11"/>
        <color theme="1"/>
        <rFont val="Noto Sans CJK SC"/>
        <family val="2"/>
      </rPr>
      <t xml:space="preserve">国内）への値上げ交渉の有無・予定時期</t>
    </r>
  </si>
  <si>
    <r>
      <rPr>
        <sz val="11"/>
        <color theme="1"/>
        <rFont val="Noto Sans CJK SC"/>
        <family val="2"/>
      </rPr>
      <t xml:space="preserve">・</t>
    </r>
    <r>
      <rPr>
        <sz val="11"/>
        <color theme="1"/>
        <rFont val="Calibri"/>
        <family val="2"/>
        <charset val="1"/>
      </rPr>
      <t xml:space="preserve">4_</t>
    </r>
    <r>
      <rPr>
        <sz val="11"/>
        <color theme="1"/>
        <rFont val="Noto Sans CJK SC"/>
        <family val="2"/>
      </rPr>
      <t xml:space="preserve">製品値上げ</t>
    </r>
    <r>
      <rPr>
        <sz val="11"/>
        <color theme="1"/>
        <rFont val="Calibri"/>
        <family val="2"/>
        <charset val="1"/>
      </rPr>
      <t xml:space="preserve">_BEI</t>
    </r>
    <r>
      <rPr>
        <sz val="11"/>
        <color theme="1"/>
        <rFont val="Noto Sans CJK SC"/>
        <family val="2"/>
      </rPr>
      <t xml:space="preserve">シートの通り、</t>
    </r>
    <r>
      <rPr>
        <sz val="11"/>
        <color theme="1"/>
        <rFont val="Calibri"/>
        <family val="2"/>
        <charset val="1"/>
      </rPr>
      <t xml:space="preserve">BEI</t>
    </r>
    <r>
      <rPr>
        <sz val="11"/>
        <color theme="1"/>
        <rFont val="Noto Sans CJK SC"/>
        <family val="2"/>
      </rPr>
      <t xml:space="preserve">は材料インパクト率（</t>
    </r>
    <r>
      <rPr>
        <sz val="11"/>
        <color theme="1"/>
        <rFont val="Calibri"/>
        <family val="2"/>
        <charset val="1"/>
      </rPr>
      <t xml:space="preserve">7</t>
    </r>
    <r>
      <rPr>
        <sz val="11"/>
        <color theme="1"/>
        <rFont val="Noto Sans CJK SC"/>
        <family val="2"/>
      </rPr>
      <t xml:space="preserve">〜</t>
    </r>
    <r>
      <rPr>
        <sz val="11"/>
        <color theme="1"/>
        <rFont val="Calibri"/>
        <family val="2"/>
        <charset val="1"/>
      </rPr>
      <t xml:space="preserve">10%</t>
    </r>
    <r>
      <rPr>
        <sz val="11"/>
        <color theme="1"/>
        <rFont val="Noto Sans CJK SC"/>
        <family val="2"/>
      </rPr>
      <t xml:space="preserve">）が製品インパクト率（</t>
    </r>
    <r>
      <rPr>
        <sz val="11"/>
        <color theme="1"/>
        <rFont val="Calibri"/>
        <family val="2"/>
        <charset val="1"/>
      </rPr>
      <t xml:space="preserve">0.7</t>
    </r>
    <r>
      <rPr>
        <sz val="11"/>
        <color theme="1"/>
        <rFont val="Noto Sans CJK SC"/>
        <family val="2"/>
      </rPr>
      <t xml:space="preserve">〜</t>
    </r>
    <r>
      <rPr>
        <sz val="11"/>
        <color theme="1"/>
        <rFont val="Calibri"/>
        <family val="2"/>
        <charset val="1"/>
      </rPr>
      <t xml:space="preserve">1.4%</t>
    </r>
    <r>
      <rPr>
        <sz val="11"/>
        <color theme="1"/>
        <rFont val="Noto Sans CJK SC"/>
        <family val="2"/>
      </rPr>
      <t xml:space="preserve">）を大きく上回っており、価格転嫁が進んでいない可能性が高いため、下期に向けた交渉計画の有無を現地に確認する必要がある</t>
    </r>
  </si>
  <si>
    <r>
      <rPr>
        <b val="true"/>
        <sz val="13"/>
        <color rgb="FF1F3864"/>
        <rFont val="Arial"/>
        <family val="0"/>
        <charset val="1"/>
      </rPr>
      <t xml:space="preserve">④2026</t>
    </r>
    <r>
      <rPr>
        <b val="true"/>
        <sz val="13"/>
        <color rgb="FF1F3864"/>
        <rFont val="Noto Sans CJK SC"/>
        <family val="2"/>
      </rPr>
      <t xml:space="preserve">年</t>
    </r>
    <r>
      <rPr>
        <b val="true"/>
        <sz val="13"/>
        <color rgb="FF1F3864"/>
        <rFont val="Arial"/>
        <family val="0"/>
        <charset val="1"/>
      </rPr>
      <t xml:space="preserve">7</t>
    </r>
    <r>
      <rPr>
        <b val="true"/>
        <sz val="13"/>
        <color rgb="FF1F3864"/>
        <rFont val="Noto Sans CJK SC"/>
        <family val="2"/>
      </rPr>
      <t xml:space="preserve">月度実績　</t>
    </r>
    <r>
      <rPr>
        <b val="true"/>
        <sz val="13"/>
        <color rgb="FF1F3864"/>
        <rFont val="Arial"/>
        <family val="0"/>
        <charset val="1"/>
      </rPr>
      <t xml:space="preserve">BEE</t>
    </r>
    <r>
      <rPr>
        <b val="true"/>
        <sz val="13"/>
        <color rgb="FF1F3864"/>
        <rFont val="Noto Sans CJK SC"/>
        <family val="2"/>
      </rPr>
      <t xml:space="preserve">　製品分類別サマリー＆モデル別（品番別）利益率一覧</t>
    </r>
  </si>
  <si>
    <r>
      <rPr>
        <i val="true"/>
        <sz val="8.5"/>
        <color rgb="FF666666"/>
        <rFont val="Noto Sans CJK SC"/>
        <family val="2"/>
      </rPr>
      <t xml:space="preserve">出所：７月度日本建機顧客別</t>
    </r>
    <r>
      <rPr>
        <i val="true"/>
        <sz val="8.5"/>
        <color rgb="FF666666"/>
        <rFont val="Arial"/>
        <family val="0"/>
        <charset val="1"/>
      </rPr>
      <t xml:space="preserve">_</t>
    </r>
    <r>
      <rPr>
        <i val="true"/>
        <sz val="8.5"/>
        <color rgb="FF666666"/>
        <rFont val="Noto Sans CJK SC"/>
        <family val="2"/>
      </rPr>
      <t xml:space="preserve">モデル別利益</t>
    </r>
    <r>
      <rPr>
        <i val="true"/>
        <sz val="8.5"/>
        <color rgb="FF666666"/>
        <rFont val="Arial"/>
        <family val="0"/>
        <charset val="1"/>
      </rPr>
      <t xml:space="preserve">.xlsx</t>
    </r>
    <r>
      <rPr>
        <i val="true"/>
        <sz val="8.5"/>
        <color rgb="FF666666"/>
        <rFont val="Noto Sans CJK SC"/>
        <family val="2"/>
      </rPr>
      <t xml:space="preserve">（</t>
    </r>
    <r>
      <rPr>
        <i val="true"/>
        <sz val="8.5"/>
        <color rgb="FF666666"/>
        <rFont val="Arial"/>
        <family val="0"/>
        <charset val="1"/>
      </rPr>
      <t xml:space="preserve">Export</t>
    </r>
    <r>
      <rPr>
        <i val="true"/>
        <sz val="8.5"/>
        <color rgb="FF666666"/>
        <rFont val="Noto Sans CJK SC"/>
        <family val="2"/>
      </rPr>
      <t xml:space="preserve">シート）。品目コード</t>
    </r>
    <r>
      <rPr>
        <i val="true"/>
        <sz val="8.5"/>
        <color rgb="FF666666"/>
        <rFont val="Arial"/>
        <family val="0"/>
        <charset val="1"/>
      </rPr>
      <t xml:space="preserve">(</t>
    </r>
    <r>
      <rPr>
        <i val="true"/>
        <sz val="8.5"/>
        <color rgb="FF666666"/>
        <rFont val="Noto Sans CJK SC"/>
        <family val="2"/>
      </rPr>
      <t xml:space="preserve">品番</t>
    </r>
    <r>
      <rPr>
        <i val="true"/>
        <sz val="8.5"/>
        <color rgb="FF666666"/>
        <rFont val="Arial"/>
        <family val="0"/>
        <charset val="1"/>
      </rPr>
      <t xml:space="preserve">)</t>
    </r>
    <r>
      <rPr>
        <i val="true"/>
        <sz val="8.5"/>
        <color rgb="FF666666"/>
        <rFont val="Noto Sans CJK SC"/>
        <family val="2"/>
      </rPr>
      <t xml:space="preserve">単位に数量・売上高・概算仕入原価・概算利益を集計。品目名称からワイヤーハーネス／ケーブル・コード／その他に簡易分類。利益率マイナスの行は赤色でハイライト。</t>
    </r>
  </si>
  <si>
    <t xml:space="preserve">製品分類別サマリー</t>
  </si>
  <si>
    <t xml:space="preserve">製品分類</t>
  </si>
  <si>
    <t xml:space="preserve">品番数</t>
  </si>
  <si>
    <t xml:space="preserve">売上高</t>
  </si>
  <si>
    <t xml:space="preserve">原価</t>
  </si>
  <si>
    <t xml:space="preserve">利益</t>
  </si>
  <si>
    <t xml:space="preserve">利益率</t>
  </si>
  <si>
    <t xml:space="preserve">ワイヤーハーネス</t>
  </si>
  <si>
    <t xml:space="preserve">ケーブル・コード</t>
  </si>
  <si>
    <t xml:space="preserve">単位：百万円。</t>
  </si>
  <si>
    <r>
      <rPr>
        <b val="true"/>
        <sz val="13"/>
        <color rgb="FF1F3864"/>
        <rFont val="Noto Sans CJK SC"/>
        <family val="2"/>
      </rPr>
      <t xml:space="preserve">モデル別（品番別）利益率一覧　全</t>
    </r>
    <r>
      <rPr>
        <b val="true"/>
        <sz val="13"/>
        <color rgb="FF1F3864"/>
        <rFont val="Arial"/>
        <family val="0"/>
        <charset val="1"/>
      </rPr>
      <t xml:space="preserve">2764</t>
    </r>
    <r>
      <rPr>
        <b val="true"/>
        <sz val="13"/>
        <color rgb="FF1F3864"/>
        <rFont val="Noto Sans CJK SC"/>
        <family val="2"/>
      </rPr>
      <t xml:space="preserve">品番　売上高降順</t>
    </r>
  </si>
  <si>
    <t xml:space="preserve">品番</t>
  </si>
  <si>
    <t xml:space="preserve">品目名称</t>
  </si>
  <si>
    <t xml:space="preserve">得意先</t>
  </si>
  <si>
    <t xml:space="preserve">数量</t>
  </si>
  <si>
    <r>
      <rPr>
        <b val="true"/>
        <sz val="10"/>
        <color rgb="FFFFFFFF"/>
        <rFont val="Noto Sans CJK SC"/>
        <family val="2"/>
      </rPr>
      <t xml:space="preserve">売上高</t>
    </r>
    <r>
      <rPr>
        <b val="true"/>
        <sz val="10"/>
        <color rgb="FFFFFFFF"/>
        <rFont val="Arial"/>
        <family val="0"/>
        <charset val="1"/>
      </rPr>
      <t xml:space="preserve">(</t>
    </r>
    <r>
      <rPr>
        <b val="true"/>
        <sz val="10"/>
        <color rgb="FFFFFFFF"/>
        <rFont val="Noto Sans CJK SC"/>
        <family val="2"/>
      </rPr>
      <t xml:space="preserve">円</t>
    </r>
    <r>
      <rPr>
        <b val="true"/>
        <sz val="10"/>
        <color rgb="FFFFFFFF"/>
        <rFont val="Arial"/>
        <family val="0"/>
        <charset val="1"/>
      </rPr>
      <t xml:space="preserve">)</t>
    </r>
  </si>
  <si>
    <r>
      <rPr>
        <b val="true"/>
        <sz val="10"/>
        <color rgb="FFFFFFFF"/>
        <rFont val="Noto Sans CJK SC"/>
        <family val="2"/>
      </rPr>
      <t xml:space="preserve">利益</t>
    </r>
    <r>
      <rPr>
        <b val="true"/>
        <sz val="10"/>
        <color rgb="FFFFFFFF"/>
        <rFont val="Arial"/>
        <family val="0"/>
        <charset val="1"/>
      </rPr>
      <t xml:space="preserve">(</t>
    </r>
    <r>
      <rPr>
        <b val="true"/>
        <sz val="10"/>
        <color rgb="FFFFFFFF"/>
        <rFont val="Noto Sans CJK SC"/>
        <family val="2"/>
      </rPr>
      <t xml:space="preserve">円</t>
    </r>
    <r>
      <rPr>
        <b val="true"/>
        <sz val="10"/>
        <color rgb="FFFFFFFF"/>
        <rFont val="Arial"/>
        <family val="0"/>
        <charset val="1"/>
      </rPr>
      <t xml:space="preserve">)</t>
    </r>
  </si>
  <si>
    <t xml:space="preserve">YA00055329-007</t>
  </si>
  <si>
    <t xml:space="preserve">WIRE HARNESS</t>
  </si>
  <si>
    <t xml:space="preserve">つくば部品センタ</t>
  </si>
  <si>
    <t xml:space="preserve">662-6905HE01</t>
  </si>
  <si>
    <r>
      <rPr>
        <sz val="10"/>
        <rFont val="Noto Sans CJK SC"/>
        <family val="2"/>
      </rPr>
      <t xml:space="preserve">キャタピラージャパン</t>
    </r>
    <r>
      <rPr>
        <sz val="10"/>
        <rFont val="Arial"/>
        <family val="0"/>
        <charset val="1"/>
      </rPr>
      <t xml:space="preserve">(</t>
    </r>
    <r>
      <rPr>
        <sz val="10"/>
        <rFont val="Noto Sans CJK SC"/>
        <family val="2"/>
      </rPr>
      <t xml:space="preserve">同）</t>
    </r>
  </si>
  <si>
    <t xml:space="preserve">YA00089678-002</t>
  </si>
  <si>
    <t xml:space="preserve">M13582-00312A</t>
  </si>
  <si>
    <t xml:space="preserve">HARNESS</t>
  </si>
  <si>
    <t xml:space="preserve">いすゞ自動車エンジン販売㈱川口</t>
  </si>
  <si>
    <t xml:space="preserve">YA00086565-000</t>
  </si>
  <si>
    <t xml:space="preserve">日立建機㈱</t>
  </si>
  <si>
    <t xml:space="preserve">YA00058702-013</t>
  </si>
  <si>
    <t xml:space="preserve">03742-00540-01</t>
  </si>
  <si>
    <t xml:space="preserve">㈱竹内製作所</t>
  </si>
  <si>
    <t xml:space="preserve">662-6910HE02</t>
  </si>
  <si>
    <t xml:space="preserve">YD00011755-005</t>
  </si>
  <si>
    <t xml:space="preserve">㈱日立建機ティエラ</t>
  </si>
  <si>
    <t xml:space="preserve">662-6903HE00</t>
  </si>
  <si>
    <t xml:space="preserve">06542-00139-00</t>
  </si>
  <si>
    <t xml:space="preserve">YD00018062-003</t>
  </si>
  <si>
    <t xml:space="preserve">YA00070199-005</t>
  </si>
  <si>
    <t xml:space="preserve">YD00012145-006</t>
  </si>
  <si>
    <t xml:space="preserve">KHR64545-02</t>
  </si>
  <si>
    <t xml:space="preserve">ハーネス</t>
  </si>
  <si>
    <t xml:space="preserve">㈱イチネンアクセス（住友）</t>
  </si>
  <si>
    <t xml:space="preserve">KRR31483-00</t>
  </si>
  <si>
    <t xml:space="preserve">KRR32451-01</t>
  </si>
  <si>
    <r>
      <rPr>
        <sz val="10"/>
        <rFont val="Arial"/>
        <family val="0"/>
        <charset val="1"/>
      </rPr>
      <t xml:space="preserve">WIRING</t>
    </r>
    <r>
      <rPr>
        <sz val="10"/>
        <rFont val="Noto Sans CJK SC"/>
        <family val="2"/>
      </rPr>
      <t xml:space="preserve">　</t>
    </r>
    <r>
      <rPr>
        <sz val="10"/>
        <rFont val="Arial"/>
        <family val="0"/>
        <charset val="1"/>
      </rPr>
      <t xml:space="preserve">HARNESS</t>
    </r>
  </si>
  <si>
    <t xml:space="preserve">YN14E01196P1-002</t>
  </si>
  <si>
    <r>
      <rPr>
        <sz val="10"/>
        <rFont val="Arial"/>
        <family val="0"/>
        <charset val="1"/>
      </rPr>
      <t xml:space="preserve">HARNESS</t>
    </r>
    <r>
      <rPr>
        <sz val="10"/>
        <rFont val="Noto Sans CJK SC"/>
        <family val="2"/>
      </rPr>
      <t xml:space="preserve">（キャブ）</t>
    </r>
  </si>
  <si>
    <t xml:space="preserve">コベルコ建機㈱</t>
  </si>
  <si>
    <t xml:space="preserve">YA00091907-005</t>
  </si>
  <si>
    <t xml:space="preserve">628-7269HE00</t>
  </si>
  <si>
    <t xml:space="preserve">Caterpillar Inc.</t>
  </si>
  <si>
    <t xml:space="preserve">YN13E02247P1-001</t>
  </si>
  <si>
    <r>
      <rPr>
        <sz val="10"/>
        <rFont val="Arial"/>
        <family val="0"/>
        <charset val="1"/>
      </rPr>
      <t xml:space="preserve">HARNESS</t>
    </r>
    <r>
      <rPr>
        <sz val="10"/>
        <rFont val="Noto Sans CJK SC"/>
        <family val="2"/>
      </rPr>
      <t xml:space="preserve">（アッパ）</t>
    </r>
  </si>
  <si>
    <r>
      <rPr>
        <sz val="10"/>
        <rFont val="Noto Sans CJK SC"/>
        <family val="2"/>
      </rPr>
      <t xml:space="preserve">コベルコ大久保</t>
    </r>
    <r>
      <rPr>
        <sz val="10"/>
        <rFont val="Arial"/>
        <family val="0"/>
        <charset val="1"/>
      </rPr>
      <t xml:space="preserve">P/C</t>
    </r>
  </si>
  <si>
    <t xml:space="preserve">YA00102692-001</t>
  </si>
  <si>
    <t xml:space="preserve">なか第三　ナカダイサン</t>
  </si>
  <si>
    <t xml:space="preserve">YN13E02430P3-002</t>
  </si>
  <si>
    <r>
      <rPr>
        <sz val="10"/>
        <rFont val="Arial"/>
        <family val="0"/>
        <charset val="1"/>
      </rPr>
      <t xml:space="preserve">WIRE </t>
    </r>
    <r>
      <rPr>
        <sz val="10"/>
        <rFont val="Noto Sans CJK SC"/>
        <family val="2"/>
      </rPr>
      <t xml:space="preserve">ＨＡＲＮＥＳＳ</t>
    </r>
  </si>
  <si>
    <t xml:space="preserve">KHR76242-01</t>
  </si>
  <si>
    <t xml:space="preserve">3KY-76110-500</t>
  </si>
  <si>
    <t xml:space="preserve">トーハツマリーン㈱</t>
  </si>
  <si>
    <t xml:space="preserve">KBR18542-01</t>
  </si>
  <si>
    <t xml:space="preserve">YA00046848-007</t>
  </si>
  <si>
    <t xml:space="preserve">YF13E01196P1-001</t>
  </si>
  <si>
    <t xml:space="preserve">WIRING HARNESS</t>
  </si>
  <si>
    <t xml:space="preserve">YN14E01194P3-002</t>
  </si>
  <si>
    <t xml:space="preserve">YA00076819-005</t>
  </si>
  <si>
    <t xml:space="preserve">YA00105575-000</t>
  </si>
  <si>
    <t xml:space="preserve">YF13E01201P6-001</t>
  </si>
  <si>
    <t xml:space="preserve">YD00012658-006</t>
  </si>
  <si>
    <t xml:space="preserve">YA00029688-007</t>
  </si>
  <si>
    <t xml:space="preserve">YA00078343-001</t>
  </si>
  <si>
    <t xml:space="preserve">03942-00285-01</t>
  </si>
  <si>
    <t xml:space="preserve">KBR19553-00</t>
  </si>
  <si>
    <t xml:space="preserve">YA00085917-002</t>
  </si>
  <si>
    <t xml:space="preserve">YA00095896-003</t>
  </si>
  <si>
    <t xml:space="preserve">TNA504A001B-F5</t>
  </si>
  <si>
    <t xml:space="preserve">ＨＡＲＮＥＳＳ</t>
  </si>
  <si>
    <t xml:space="preserve">三菱重工ｻｰﾏﾙｼｽﾃﾑｽﾞ㈱</t>
  </si>
  <si>
    <t xml:space="preserve">646-1209HE00</t>
  </si>
  <si>
    <t xml:space="preserve">X211198463//00</t>
  </si>
  <si>
    <t xml:space="preserve">ＦＵＳＥ　ＢＯＸ　ＡＳＳＹ</t>
  </si>
  <si>
    <t xml:space="preserve">大京㈱</t>
  </si>
  <si>
    <t xml:space="preserve">YA00059977-005</t>
  </si>
  <si>
    <t xml:space="preserve">KLR12472-00</t>
  </si>
  <si>
    <t xml:space="preserve">YY16E01025P2-002</t>
  </si>
  <si>
    <t xml:space="preserve">YA00030316-000</t>
  </si>
  <si>
    <t xml:space="preserve">YA00098990-002</t>
  </si>
  <si>
    <t xml:space="preserve">YA00060032-005</t>
  </si>
  <si>
    <t xml:space="preserve">YA00110887-000</t>
  </si>
  <si>
    <t xml:space="preserve">YA00053156-008</t>
  </si>
  <si>
    <t xml:space="preserve">621-6437HE00</t>
  </si>
  <si>
    <t xml:space="preserve">611-2256HE00</t>
  </si>
  <si>
    <t xml:space="preserve">17A0643222//08</t>
  </si>
  <si>
    <t xml:space="preserve">YD00018063-001</t>
  </si>
  <si>
    <t xml:space="preserve">YA00074897-002</t>
  </si>
  <si>
    <t xml:space="preserve">BP-002A</t>
  </si>
  <si>
    <t xml:space="preserve">CONECTOR(6188-5151)</t>
  </si>
  <si>
    <t xml:space="preserve">常陸電装㈱</t>
  </si>
  <si>
    <t xml:space="preserve">05542-00635-01</t>
  </si>
  <si>
    <t xml:space="preserve">KHR55431-00</t>
  </si>
  <si>
    <t xml:space="preserve">YA00098989-001</t>
  </si>
  <si>
    <t xml:space="preserve">YA00025984-003</t>
  </si>
  <si>
    <t xml:space="preserve">KHR79850-01</t>
  </si>
  <si>
    <t xml:space="preserve">621-4823HE00</t>
  </si>
  <si>
    <t xml:space="preserve">ハーネス　ワイヤ</t>
  </si>
  <si>
    <t xml:space="preserve">YA00031982-007</t>
  </si>
  <si>
    <t xml:space="preserve">LC13E01735P2-001</t>
  </si>
  <si>
    <t xml:space="preserve">621-3564HE00</t>
  </si>
  <si>
    <t xml:space="preserve">YA00084107-001</t>
  </si>
  <si>
    <t xml:space="preserve">YA00100056-001</t>
  </si>
  <si>
    <t xml:space="preserve">KHR57071-00</t>
  </si>
  <si>
    <t xml:space="preserve">ULM272A5301A0</t>
  </si>
  <si>
    <t xml:space="preserve">メインハーネス</t>
  </si>
  <si>
    <t xml:space="preserve">㈱共栄社</t>
  </si>
  <si>
    <t xml:space="preserve">YA00082990-006</t>
  </si>
  <si>
    <t xml:space="preserve">KHR46042-03</t>
  </si>
  <si>
    <r>
      <rPr>
        <sz val="10"/>
        <rFont val="Arial"/>
        <family val="0"/>
        <charset val="1"/>
      </rPr>
      <t xml:space="preserve">WIER</t>
    </r>
    <r>
      <rPr>
        <sz val="10"/>
        <rFont val="Noto Sans CJK SC"/>
        <family val="2"/>
      </rPr>
      <t xml:space="preserve">　</t>
    </r>
    <r>
      <rPr>
        <sz val="10"/>
        <rFont val="Arial"/>
        <family val="0"/>
        <charset val="1"/>
      </rPr>
      <t xml:space="preserve">HARNESS</t>
    </r>
  </si>
  <si>
    <t xml:space="preserve">81E-77601001-01</t>
  </si>
  <si>
    <t xml:space="preserve">㈱加藤製作所</t>
  </si>
  <si>
    <t xml:space="preserve">GN13E01115P5-001</t>
  </si>
  <si>
    <t xml:space="preserve">コベルコ建機㈱　クレーン汎用部</t>
  </si>
  <si>
    <t xml:space="preserve">YD00010601-015</t>
  </si>
  <si>
    <t xml:space="preserve">YA00054444-007</t>
  </si>
  <si>
    <t xml:space="preserve">KHR78640-00</t>
  </si>
  <si>
    <t xml:space="preserve">LC14E01081P2-002</t>
  </si>
  <si>
    <t xml:space="preserve">KRR29932-00</t>
  </si>
  <si>
    <t xml:space="preserve">YN11E01296P1-001</t>
  </si>
  <si>
    <t xml:space="preserve">㈱木村洋行</t>
  </si>
  <si>
    <t xml:space="preserve">KNR16202-00</t>
  </si>
  <si>
    <t xml:space="preserve">KMR18670-01</t>
  </si>
  <si>
    <t xml:space="preserve">3471119000/0</t>
  </si>
  <si>
    <t xml:space="preserve">WIREING HARNESS</t>
  </si>
  <si>
    <t xml:space="preserve">㈱東海理化</t>
  </si>
  <si>
    <t xml:space="preserve">S661036400-C</t>
  </si>
  <si>
    <t xml:space="preserve">22N5451281//02</t>
  </si>
  <si>
    <t xml:space="preserve">ＰＯＴＥＮＴＩＯＭＥＴＥＲ</t>
  </si>
  <si>
    <t xml:space="preserve">KHR50654-04</t>
  </si>
  <si>
    <t xml:space="preserve">KHR69912-00</t>
  </si>
  <si>
    <t xml:space="preserve">99999</t>
  </si>
  <si>
    <t xml:space="preserve">いすゞ自動車ｴﾝｼﾞﾝ販売㈱本蓮</t>
  </si>
  <si>
    <t xml:space="preserve">YX50S00004F1-001</t>
  </si>
  <si>
    <t xml:space="preserve">SWITCH</t>
  </si>
  <si>
    <t xml:space="preserve">YA00052095-005</t>
  </si>
  <si>
    <t xml:space="preserve">GN13E01092P7-002</t>
  </si>
  <si>
    <t xml:space="preserve">YN13E02429P2-002</t>
  </si>
  <si>
    <t xml:space="preserve">B43582-08600</t>
  </si>
  <si>
    <t xml:space="preserve">536-7157HE01</t>
  </si>
  <si>
    <t xml:space="preserve">YA00095942-003</t>
  </si>
  <si>
    <t xml:space="preserve">2447R145-001</t>
  </si>
  <si>
    <t xml:space="preserve">ＡＭＰＬＩＦＩＥＲ</t>
  </si>
  <si>
    <t xml:space="preserve">YA00042188-004</t>
  </si>
  <si>
    <t xml:space="preserve">KHR67411-00</t>
  </si>
  <si>
    <t xml:space="preserve">YA00106690-000</t>
  </si>
  <si>
    <t xml:space="preserve">YA00110700-000</t>
  </si>
  <si>
    <t xml:space="preserve">KHR69381-00</t>
  </si>
  <si>
    <r>
      <rPr>
        <sz val="10"/>
        <rFont val="Arial"/>
        <family val="0"/>
        <charset val="1"/>
      </rPr>
      <t xml:space="preserve">WIRE</t>
    </r>
    <r>
      <rPr>
        <sz val="10"/>
        <rFont val="Noto Sans CJK SC"/>
        <family val="2"/>
      </rPr>
      <t xml:space="preserve">　</t>
    </r>
    <r>
      <rPr>
        <sz val="10"/>
        <rFont val="Arial"/>
        <family val="0"/>
        <charset val="1"/>
      </rPr>
      <t xml:space="preserve">HARNESS</t>
    </r>
  </si>
  <si>
    <t xml:space="preserve">144609149/0-11325B</t>
  </si>
  <si>
    <t xml:space="preserve">酒井重工業（株）東京工場</t>
  </si>
  <si>
    <t xml:space="preserve">LC16E01090P2-002</t>
  </si>
  <si>
    <t xml:space="preserve">YA00100059-001</t>
  </si>
  <si>
    <t xml:space="preserve">131009182/2-10999B</t>
  </si>
  <si>
    <t xml:space="preserve">YA00101745-000</t>
  </si>
  <si>
    <t xml:space="preserve">YA00092625-003</t>
  </si>
  <si>
    <t xml:space="preserve">KNR17453-00</t>
  </si>
  <si>
    <t xml:space="preserve">G3628017700</t>
  </si>
  <si>
    <t xml:space="preserve">KBR18131-00</t>
  </si>
  <si>
    <t xml:space="preserve">YA00102312-001</t>
  </si>
  <si>
    <t xml:space="preserve">YA00096715-001</t>
  </si>
  <si>
    <t xml:space="preserve">YA00072202-000</t>
  </si>
  <si>
    <t xml:space="preserve">YA00060842-002</t>
  </si>
  <si>
    <t xml:space="preserve">LS54S00001P2-001</t>
  </si>
  <si>
    <t xml:space="preserve">マイクロフォン</t>
  </si>
  <si>
    <t xml:space="preserve">TNA504A008-A3</t>
  </si>
  <si>
    <t xml:space="preserve">YA00016525-004</t>
  </si>
  <si>
    <t xml:space="preserve">YA00086710-004</t>
  </si>
  <si>
    <t xml:space="preserve">YY13E01632P1-002</t>
  </si>
  <si>
    <t xml:space="preserve">621-4165HE00</t>
  </si>
  <si>
    <t xml:space="preserve">37A2FN5611//01</t>
  </si>
  <si>
    <t xml:space="preserve">コマツ栃木</t>
  </si>
  <si>
    <t xml:space="preserve">YA00101628-001</t>
  </si>
  <si>
    <t xml:space="preserve">YA00102689-001</t>
  </si>
  <si>
    <t xml:space="preserve">LC54S00004P1-001</t>
  </si>
  <si>
    <t xml:space="preserve">スピーカー</t>
  </si>
  <si>
    <t xml:space="preserve">ｺﾍﾞﾙｺ建機㈱　大垣事業所</t>
  </si>
  <si>
    <t xml:space="preserve">636-0833HE00</t>
  </si>
  <si>
    <t xml:space="preserve">TNB504A001-D4</t>
  </si>
  <si>
    <t xml:space="preserve">YA00091908-003</t>
  </si>
  <si>
    <t xml:space="preserve">621-7303HE00</t>
  </si>
  <si>
    <t xml:space="preserve">YD00011623-010</t>
  </si>
  <si>
    <t xml:space="preserve">C33582-08920-1</t>
  </si>
  <si>
    <t xml:space="preserve">1950657552//03</t>
  </si>
  <si>
    <t xml:space="preserve">コマツ大阪工場</t>
  </si>
  <si>
    <t xml:space="preserve">YA00049402-004</t>
  </si>
  <si>
    <t xml:space="preserve">82E-77601001-01</t>
  </si>
  <si>
    <t xml:space="preserve">YA00005257-004</t>
  </si>
  <si>
    <t xml:space="preserve">621-6765HE00</t>
  </si>
  <si>
    <r>
      <rPr>
        <sz val="10"/>
        <rFont val="Arial"/>
        <family val="0"/>
        <charset val="1"/>
      </rPr>
      <t xml:space="preserve">CAT  </t>
    </r>
    <r>
      <rPr>
        <sz val="10"/>
        <rFont val="Noto Sans CJK SC"/>
        <family val="2"/>
      </rPr>
      <t xml:space="preserve">（</t>
    </r>
    <r>
      <rPr>
        <sz val="10"/>
        <rFont val="Arial"/>
        <family val="0"/>
        <charset val="1"/>
      </rPr>
      <t xml:space="preserve">CJL1 </t>
    </r>
    <r>
      <rPr>
        <sz val="10"/>
        <rFont val="Noto Sans CJK SC"/>
        <family val="2"/>
      </rPr>
      <t xml:space="preserve">荷受け場）</t>
    </r>
  </si>
  <si>
    <t xml:space="preserve">LQ14E01050P1-002</t>
  </si>
  <si>
    <t xml:space="preserve">G3628017600</t>
  </si>
  <si>
    <t xml:space="preserve">621-5118HE00</t>
  </si>
  <si>
    <t xml:space="preserve">YA00076820-004</t>
  </si>
  <si>
    <t xml:space="preserve">636-0580HE00</t>
  </si>
  <si>
    <t xml:space="preserve">YJ00009071-002</t>
  </si>
  <si>
    <t xml:space="preserve">㈱日立建機カミーノ</t>
  </si>
  <si>
    <t xml:space="preserve">KRR29682-00</t>
  </si>
  <si>
    <t xml:space="preserve">KHR64890-01</t>
  </si>
  <si>
    <t xml:space="preserve">YA00060276-001</t>
  </si>
  <si>
    <t xml:space="preserve">YA00058218-003</t>
  </si>
  <si>
    <t xml:space="preserve">1413707913-003</t>
  </si>
  <si>
    <t xml:space="preserve">㈱デンソーエアクール</t>
  </si>
  <si>
    <t xml:space="preserve">YA00058219-003</t>
  </si>
  <si>
    <t xml:space="preserve">8447-610037K</t>
  </si>
  <si>
    <t xml:space="preserve">D/B HARNESS KIT:TW354</t>
  </si>
  <si>
    <t xml:space="preserve">X25347699D//00</t>
  </si>
  <si>
    <t xml:space="preserve">コマツ粟津工場</t>
  </si>
  <si>
    <t xml:space="preserve">609-3418HE00</t>
  </si>
  <si>
    <t xml:space="preserve">G3628017800</t>
  </si>
  <si>
    <t xml:space="preserve">YN13E02082P5-002</t>
  </si>
  <si>
    <t xml:space="preserve">YA00081709-005</t>
  </si>
  <si>
    <t xml:space="preserve">YN14E01195P1-002</t>
  </si>
  <si>
    <t xml:space="preserve">C03582-19000</t>
  </si>
  <si>
    <t xml:space="preserve">2090645112//02</t>
  </si>
  <si>
    <t xml:space="preserve">YA00092081-002</t>
  </si>
  <si>
    <t xml:space="preserve">YA00086806-002</t>
  </si>
  <si>
    <t xml:space="preserve">06542-00051-05</t>
  </si>
  <si>
    <t xml:space="preserve">LQ13E01490P3-001</t>
  </si>
  <si>
    <t xml:space="preserve">ＨＡＲＮＥＳＳ（アッパ）</t>
  </si>
  <si>
    <t xml:space="preserve">583-2203HE00</t>
  </si>
  <si>
    <t xml:space="preserve">N-99999</t>
  </si>
  <si>
    <t xml:space="preserve">BP-001C</t>
  </si>
  <si>
    <t xml:space="preserve">CONECTOR(6189-7322)</t>
  </si>
  <si>
    <t xml:space="preserve">YA00071733-000</t>
  </si>
  <si>
    <t xml:space="preserve">4434020250-000</t>
  </si>
  <si>
    <t xml:space="preserve">1950671220//03</t>
  </si>
  <si>
    <t xml:space="preserve">YJ00008377-002</t>
  </si>
  <si>
    <t xml:space="preserve">㈱テクス清水</t>
  </si>
  <si>
    <t xml:space="preserve">KMR15422-00</t>
  </si>
  <si>
    <t xml:space="preserve">YA00074549-005</t>
  </si>
  <si>
    <t xml:space="preserve">3319451810-002</t>
  </si>
  <si>
    <t xml:space="preserve">KHR75640-00</t>
  </si>
  <si>
    <t xml:space="preserve">YF13E01197P1-001</t>
  </si>
  <si>
    <t xml:space="preserve">YA00085296-005</t>
  </si>
  <si>
    <t xml:space="preserve">YA00031120-003</t>
  </si>
  <si>
    <t xml:space="preserve">1413709312-001</t>
  </si>
  <si>
    <t xml:space="preserve">579-4200HE00</t>
  </si>
  <si>
    <t xml:space="preserve">1950655591//03</t>
  </si>
  <si>
    <t xml:space="preserve">YD00012252-003</t>
  </si>
  <si>
    <t xml:space="preserve">YF13E01202P1-002</t>
  </si>
  <si>
    <t xml:space="preserve">YY11E01322P1-003</t>
  </si>
  <si>
    <t xml:space="preserve">671-8213HE01</t>
  </si>
  <si>
    <t xml:space="preserve">20S-C33186#05-6</t>
  </si>
  <si>
    <t xml:space="preserve">コベルコ・コンプレッサ㈱</t>
  </si>
  <si>
    <t xml:space="preserve">YL00023707-007</t>
  </si>
  <si>
    <t xml:space="preserve">住友重機械建機クレーン㈱</t>
  </si>
  <si>
    <t xml:space="preserve">YA00070243-001</t>
  </si>
  <si>
    <t xml:space="preserve">GG12E01010P2-002</t>
  </si>
  <si>
    <t xml:space="preserve">579-9898HE00</t>
  </si>
  <si>
    <t xml:space="preserve">KHR73650-00</t>
  </si>
  <si>
    <t xml:space="preserve">YA00069568-001</t>
  </si>
  <si>
    <t xml:space="preserve">YA00100060-001</t>
  </si>
  <si>
    <t xml:space="preserve">37A2FN5631//01</t>
  </si>
  <si>
    <t xml:space="preserve">21N0641116//03</t>
  </si>
  <si>
    <t xml:space="preserve">コマツ部品管理センタ（枚方）</t>
  </si>
  <si>
    <t xml:space="preserve">YA00062245-001</t>
  </si>
  <si>
    <t xml:space="preserve">YA00074835-001</t>
  </si>
  <si>
    <t xml:space="preserve">644-1534HE02</t>
  </si>
  <si>
    <t xml:space="preserve">YF14E01038P1-002</t>
  </si>
  <si>
    <t xml:space="preserve">YF13E01160P2-001</t>
  </si>
  <si>
    <t xml:space="preserve">YA00055744-002</t>
  </si>
  <si>
    <t xml:space="preserve">YA00046005-002</t>
  </si>
  <si>
    <t xml:space="preserve">YN16E01053P1-001</t>
  </si>
  <si>
    <t xml:space="preserve">TNC504A008A-A2</t>
  </si>
  <si>
    <t xml:space="preserve">KRR31482-00</t>
  </si>
  <si>
    <t xml:space="preserve">Y0010269</t>
  </si>
  <si>
    <t xml:space="preserve">組ケーブル強化タイプ</t>
  </si>
  <si>
    <t xml:space="preserve">横浜ゴムＭＢジャパン㈱</t>
  </si>
  <si>
    <t xml:space="preserve">YA00102345-004</t>
  </si>
  <si>
    <t xml:space="preserve">YA00086251-002</t>
  </si>
  <si>
    <t xml:space="preserve">YA00095203-001</t>
  </si>
  <si>
    <t xml:space="preserve">LC13E01604P1-003</t>
  </si>
  <si>
    <t xml:space="preserve">YA00084554-001</t>
  </si>
  <si>
    <t xml:space="preserve">HP0150K009-6</t>
  </si>
  <si>
    <t xml:space="preserve">KHR64661-00</t>
  </si>
  <si>
    <t xml:space="preserve">1950665591//03</t>
  </si>
  <si>
    <t xml:space="preserve">YN11E01294P2-002</t>
  </si>
  <si>
    <t xml:space="preserve">YA00092226-000</t>
  </si>
  <si>
    <t xml:space="preserve">YA00098988-001</t>
  </si>
  <si>
    <t xml:space="preserve">YA00101353-005</t>
  </si>
  <si>
    <t xml:space="preserve">YF14E01036P1-002</t>
  </si>
  <si>
    <t xml:space="preserve">LS13E01668P2-001</t>
  </si>
  <si>
    <t xml:space="preserve">YA00027194-001</t>
  </si>
  <si>
    <t xml:space="preserve">644-5911HE01</t>
  </si>
  <si>
    <t xml:space="preserve">YA00030796-003</t>
  </si>
  <si>
    <t xml:space="preserve">LS13E01507P1-001</t>
  </si>
  <si>
    <t xml:space="preserve">8449-610037K</t>
  </si>
  <si>
    <t xml:space="preserve">D/B HARNESS KIT:TW504</t>
  </si>
  <si>
    <t xml:space="preserve">YA00086807-002</t>
  </si>
  <si>
    <t xml:space="preserve">YA00083282-001</t>
  </si>
  <si>
    <t xml:space="preserve">140609062/1-11025B</t>
  </si>
  <si>
    <t xml:space="preserve">623-6257HE02</t>
  </si>
  <si>
    <t xml:space="preserve">YA00009267-004</t>
  </si>
  <si>
    <t xml:space="preserve">17M0644842//03</t>
  </si>
  <si>
    <t xml:space="preserve">大喜工業㈱</t>
  </si>
  <si>
    <t xml:space="preserve">KWR11841-03</t>
  </si>
  <si>
    <t xml:space="preserve">YA00031473-005</t>
  </si>
  <si>
    <t xml:space="preserve">YA00071012-001</t>
  </si>
  <si>
    <t xml:space="preserve">YA00066738-000</t>
  </si>
  <si>
    <t xml:space="preserve">42C0613353//00</t>
  </si>
  <si>
    <t xml:space="preserve">コマツ茨城工場</t>
  </si>
  <si>
    <t xml:space="preserve">YN11E01554P1-002</t>
  </si>
  <si>
    <t xml:space="preserve">GB54E00006F4-007</t>
  </si>
  <si>
    <t xml:space="preserve">YD00010768-001</t>
  </si>
  <si>
    <t xml:space="preserve">YA00000653-007</t>
  </si>
  <si>
    <t xml:space="preserve">1413707921-005</t>
  </si>
  <si>
    <t xml:space="preserve">YN16E01050P3-001</t>
  </si>
  <si>
    <t xml:space="preserve">KHR70640-00</t>
  </si>
  <si>
    <t xml:space="preserve">644-1538HE02</t>
  </si>
  <si>
    <t xml:space="preserve">KBR20070-02</t>
  </si>
  <si>
    <t xml:space="preserve">YN13E02252P1-001</t>
  </si>
  <si>
    <t xml:space="preserve">KRR31550-06</t>
  </si>
  <si>
    <t xml:space="preserve">21T0645411//02</t>
  </si>
  <si>
    <t xml:space="preserve">KRR31481-00</t>
  </si>
  <si>
    <t xml:space="preserve">YA00069514-004</t>
  </si>
  <si>
    <t xml:space="preserve">YD00015400-001</t>
  </si>
  <si>
    <t xml:space="preserve">YA00066138-002</t>
  </si>
  <si>
    <t xml:space="preserve">4560024960-001</t>
  </si>
  <si>
    <t xml:space="preserve">LEVER</t>
  </si>
  <si>
    <t xml:space="preserve">KHR19970-00</t>
  </si>
  <si>
    <t xml:space="preserve">YA00022344-001</t>
  </si>
  <si>
    <t xml:space="preserve">ULM272A5303Z0</t>
  </si>
  <si>
    <t xml:space="preserve">前方センサ－ハーネス</t>
  </si>
  <si>
    <t xml:space="preserve">LC14E01084P1-002</t>
  </si>
  <si>
    <t xml:space="preserve">YN11E01557P1-002</t>
  </si>
  <si>
    <t xml:space="preserve">131009183/2-11003B</t>
  </si>
  <si>
    <t xml:space="preserve">YA00033056-003</t>
  </si>
  <si>
    <t xml:space="preserve">KHR69860-00</t>
  </si>
  <si>
    <t xml:space="preserve">YA00096617-002</t>
  </si>
  <si>
    <t xml:space="preserve">YA00049991-000</t>
  </si>
  <si>
    <t xml:space="preserve">17MZ111111//04</t>
  </si>
  <si>
    <t xml:space="preserve">コマツ滋賀工場</t>
  </si>
  <si>
    <t xml:space="preserve">ULM272A5304Z0-1</t>
  </si>
  <si>
    <t xml:space="preserve">後方ハーネス</t>
  </si>
  <si>
    <t xml:space="preserve">LC13E01368P2-001</t>
  </si>
  <si>
    <t xml:space="preserve">YN11E01556P2-002</t>
  </si>
  <si>
    <t xml:space="preserve">YA00069991-000</t>
  </si>
  <si>
    <t xml:space="preserve">621-4162HE00</t>
  </si>
  <si>
    <t xml:space="preserve">YM13E01079P4-001</t>
  </si>
  <si>
    <t xml:space="preserve">KBR18130-07</t>
  </si>
  <si>
    <t xml:space="preserve">TNA504A012-01</t>
  </si>
  <si>
    <t xml:space="preserve">C03582-16200-1</t>
  </si>
  <si>
    <t xml:space="preserve">YD00010841-003</t>
  </si>
  <si>
    <t xml:space="preserve">YA00041953-000</t>
  </si>
  <si>
    <t xml:space="preserve">CLAMP</t>
  </si>
  <si>
    <t xml:space="preserve">KHR57151-00</t>
  </si>
  <si>
    <t xml:space="preserve">KHR79881-00</t>
  </si>
  <si>
    <t xml:space="preserve">644-2401HE01</t>
  </si>
  <si>
    <t xml:space="preserve">LS14E01096P2-001</t>
  </si>
  <si>
    <t xml:space="preserve">YN13E02360P1-001</t>
  </si>
  <si>
    <t xml:space="preserve">05642-00719-02</t>
  </si>
  <si>
    <t xml:space="preserve">1413709320-002</t>
  </si>
  <si>
    <t xml:space="preserve">YA00060942-003</t>
  </si>
  <si>
    <t xml:space="preserve">YA00089686-000</t>
  </si>
  <si>
    <t xml:space="preserve">YA00073949-000</t>
  </si>
  <si>
    <t xml:space="preserve">YA00105956-001</t>
  </si>
  <si>
    <t xml:space="preserve">YF13E01199P1-001</t>
  </si>
  <si>
    <t xml:space="preserve">C13582-07000-1</t>
  </si>
  <si>
    <t xml:space="preserve">YA00062249-002</t>
  </si>
  <si>
    <t xml:space="preserve">YL00023261-008</t>
  </si>
  <si>
    <t xml:space="preserve">ADR32232-00</t>
  </si>
  <si>
    <t xml:space="preserve">3BA5579661//02</t>
  </si>
  <si>
    <t xml:space="preserve">WIER HARNESS</t>
  </si>
  <si>
    <t xml:space="preserve">YA00062051-000</t>
  </si>
  <si>
    <t xml:space="preserve">131009228/0-211310</t>
  </si>
  <si>
    <t xml:space="preserve">LC13E01648P1-001</t>
  </si>
  <si>
    <t xml:space="preserve">03942-00286-01</t>
  </si>
  <si>
    <t xml:space="preserve">YA00055326-005</t>
  </si>
  <si>
    <t xml:space="preserve">17M0644510//00</t>
  </si>
  <si>
    <t xml:space="preserve">LS14E01023P6-001</t>
  </si>
  <si>
    <t xml:space="preserve">603-1002HE01</t>
  </si>
  <si>
    <t xml:space="preserve">YA00052968-004</t>
  </si>
  <si>
    <t xml:space="preserve">YF16E01027P2-001</t>
  </si>
  <si>
    <t xml:space="preserve">YA00083534-001</t>
  </si>
  <si>
    <t xml:space="preserve">TNA504A005-B3</t>
  </si>
  <si>
    <t xml:space="preserve">YA00072751-001</t>
  </si>
  <si>
    <t xml:space="preserve">YA00071101-008</t>
  </si>
  <si>
    <t xml:space="preserve">37A2FN6611//01</t>
  </si>
  <si>
    <t xml:space="preserve">0005386-012</t>
  </si>
  <si>
    <t xml:space="preserve">1950656560//02</t>
  </si>
  <si>
    <t xml:space="preserve">YA00084467-000</t>
  </si>
  <si>
    <t xml:space="preserve">20Y0648150//01</t>
  </si>
  <si>
    <t xml:space="preserve">YA00017380-006</t>
  </si>
  <si>
    <t xml:space="preserve">YN13E01533P2-002</t>
  </si>
  <si>
    <r>
      <rPr>
        <sz val="10"/>
        <rFont val="Noto Sans CJK SC"/>
        <family val="2"/>
      </rPr>
      <t xml:space="preserve">ＨＡＲＮＥＳＳ　（</t>
    </r>
    <r>
      <rPr>
        <sz val="10"/>
        <rFont val="Arial"/>
        <family val="0"/>
        <charset val="1"/>
      </rPr>
      <t xml:space="preserve">ECU</t>
    </r>
    <r>
      <rPr>
        <sz val="10"/>
        <rFont val="Noto Sans CJK SC"/>
        <family val="2"/>
      </rPr>
      <t xml:space="preserve">）</t>
    </r>
  </si>
  <si>
    <t xml:space="preserve">3319450410-000</t>
  </si>
  <si>
    <t xml:space="preserve">1413709332-001</t>
  </si>
  <si>
    <t xml:space="preserve">GN11E01136P3-001</t>
  </si>
  <si>
    <t xml:space="preserve">YJ00006822-005</t>
  </si>
  <si>
    <t xml:space="preserve">06542-00052-04</t>
  </si>
  <si>
    <t xml:space="preserve">20S-C33186#02-6</t>
  </si>
  <si>
    <t xml:space="preserve">YA00092735-003</t>
  </si>
  <si>
    <t xml:space="preserve">05742-00621-03</t>
  </si>
  <si>
    <t xml:space="preserve">KHR52602-01</t>
  </si>
  <si>
    <t xml:space="preserve">4712344-013</t>
  </si>
  <si>
    <t xml:space="preserve">KBR20971-00</t>
  </si>
  <si>
    <t xml:space="preserve">YA00104316-000</t>
  </si>
  <si>
    <t xml:space="preserve">3319439240-000</t>
  </si>
  <si>
    <t xml:space="preserve">TNA504A007-B3</t>
  </si>
  <si>
    <t xml:space="preserve">140609082/1-11142A</t>
  </si>
  <si>
    <t xml:space="preserve">YA00030466-005</t>
  </si>
  <si>
    <t xml:space="preserve">YA00029687-006</t>
  </si>
  <si>
    <t xml:space="preserve">3118217-004</t>
  </si>
  <si>
    <t xml:space="preserve">YA00069824-002</t>
  </si>
  <si>
    <t xml:space="preserve">KHR75660-00</t>
  </si>
  <si>
    <t xml:space="preserve">1000063659-4</t>
  </si>
  <si>
    <t xml:space="preserve">17M0643473//04</t>
  </si>
  <si>
    <t xml:space="preserve">06542-00044-00</t>
  </si>
  <si>
    <t xml:space="preserve">LR16E01007P3-002</t>
  </si>
  <si>
    <t xml:space="preserve">579-9936HE00</t>
  </si>
  <si>
    <t xml:space="preserve">YY11E01244P1-001</t>
  </si>
  <si>
    <t xml:space="preserve">14Y0641881//04</t>
  </si>
  <si>
    <t xml:space="preserve">ADR36850-01</t>
  </si>
  <si>
    <t xml:space="preserve">YA00017383-000</t>
  </si>
  <si>
    <t xml:space="preserve">YA00071527-001</t>
  </si>
  <si>
    <t xml:space="preserve">TNA504A011-01</t>
  </si>
  <si>
    <t xml:space="preserve">583-2208HE00</t>
  </si>
  <si>
    <t xml:space="preserve">YA00017382-005</t>
  </si>
  <si>
    <t xml:space="preserve">KHR76310-00</t>
  </si>
  <si>
    <t xml:space="preserve">3319449070-003</t>
  </si>
  <si>
    <t xml:space="preserve">YA00015778-001</t>
  </si>
  <si>
    <t xml:space="preserve">17A0643222//07</t>
  </si>
  <si>
    <t xml:space="preserve">YA00092927-001</t>
  </si>
  <si>
    <t xml:space="preserve">144809036/0-10731B</t>
  </si>
  <si>
    <t xml:space="preserve">37A2GN5031//00</t>
  </si>
  <si>
    <t xml:space="preserve">YN11E01279P1-001</t>
  </si>
  <si>
    <t xml:space="preserve">0005997-014</t>
  </si>
  <si>
    <t xml:space="preserve">GH13E01021P5-002</t>
  </si>
  <si>
    <t xml:space="preserve">ULM272A5105A0</t>
  </si>
  <si>
    <t xml:space="preserve">通信機器ハーネス</t>
  </si>
  <si>
    <t xml:space="preserve">P-EB35-1417#01-4</t>
  </si>
  <si>
    <t xml:space="preserve">YA00069340-006</t>
  </si>
  <si>
    <t xml:space="preserve">579-3002HE00</t>
  </si>
  <si>
    <t xml:space="preserve">LS14E01064P1-002</t>
  </si>
  <si>
    <t xml:space="preserve">YN13E01534P3-002</t>
  </si>
  <si>
    <t xml:space="preserve">WIRING HARNESS (FLOOR)</t>
  </si>
  <si>
    <t xml:space="preserve">D303600A//00</t>
  </si>
  <si>
    <t xml:space="preserve">㈱協和製作所</t>
  </si>
  <si>
    <t xml:space="preserve">YA00022785-006</t>
  </si>
  <si>
    <t xml:space="preserve">YA00105957-001</t>
  </si>
  <si>
    <t xml:space="preserve">YL00023805-001</t>
  </si>
  <si>
    <t xml:space="preserve">KHR52421-03</t>
  </si>
  <si>
    <t xml:space="preserve">ADR36880-01</t>
  </si>
  <si>
    <t xml:space="preserve">YA00043005-001</t>
  </si>
  <si>
    <t xml:space="preserve">580-3365HE00</t>
  </si>
  <si>
    <t xml:space="preserve">646-4376HE01</t>
  </si>
  <si>
    <t xml:space="preserve">580-3363HE00</t>
  </si>
  <si>
    <t xml:space="preserve">YA00096618-001</t>
  </si>
  <si>
    <t xml:space="preserve">17A0641253//03</t>
  </si>
  <si>
    <t xml:space="preserve">東洋製鉄㈱　京都工場</t>
  </si>
  <si>
    <t xml:space="preserve">KRR34250-00</t>
  </si>
  <si>
    <t xml:space="preserve">YA00092225-002</t>
  </si>
  <si>
    <t xml:space="preserve">P-EB35-1458#01-2</t>
  </si>
  <si>
    <t xml:space="preserve">0005475-014</t>
  </si>
  <si>
    <t xml:space="preserve">YA00089294-000</t>
  </si>
  <si>
    <t xml:space="preserve">YA00105949-001</t>
  </si>
  <si>
    <t xml:space="preserve">YL00023008-004</t>
  </si>
  <si>
    <t xml:space="preserve">YA00020106-001</t>
  </si>
  <si>
    <t xml:space="preserve">KHR76091-01</t>
  </si>
  <si>
    <t xml:space="preserve">HS001-0628A</t>
  </si>
  <si>
    <r>
      <rPr>
        <sz val="10"/>
        <rFont val="Arial"/>
        <family val="0"/>
        <charset val="1"/>
      </rPr>
      <t xml:space="preserve">W/H</t>
    </r>
    <r>
      <rPr>
        <sz val="10"/>
        <rFont val="Noto Sans CJK SC"/>
        <family val="2"/>
      </rPr>
      <t xml:space="preserve">（メイン　</t>
    </r>
    <r>
      <rPr>
        <sz val="10"/>
        <rFont val="Arial"/>
        <family val="0"/>
        <charset val="1"/>
      </rPr>
      <t xml:space="preserve">WP60DF-SP</t>
    </r>
    <r>
      <rPr>
        <sz val="10"/>
        <rFont val="Noto Sans CJK SC"/>
        <family val="2"/>
      </rPr>
      <t xml:space="preserve">）</t>
    </r>
  </si>
  <si>
    <t xml:space="preserve">㈱クボタ</t>
  </si>
  <si>
    <t xml:space="preserve">YA00063706-006</t>
  </si>
  <si>
    <t xml:space="preserve">3SS-76141-0B0</t>
  </si>
  <si>
    <t xml:space="preserve">YA00067188-001</t>
  </si>
  <si>
    <t xml:space="preserve">YA00087873-003</t>
  </si>
  <si>
    <t xml:space="preserve">0005565-006</t>
  </si>
  <si>
    <t xml:space="preserve">617-2103HE00</t>
  </si>
  <si>
    <t xml:space="preserve">YA00072055-002</t>
  </si>
  <si>
    <t xml:space="preserve">GG11E01335P4-003</t>
  </si>
  <si>
    <t xml:space="preserve">3112732-005</t>
  </si>
  <si>
    <t xml:space="preserve">21T0632174//01</t>
  </si>
  <si>
    <t xml:space="preserve">C33582-08910B</t>
  </si>
  <si>
    <t xml:space="preserve">YA00086273-001</t>
  </si>
  <si>
    <t xml:space="preserve">YL00023722-006</t>
  </si>
  <si>
    <t xml:space="preserve">YA00077784-002</t>
  </si>
  <si>
    <t xml:space="preserve">LQ13E01466P1-001</t>
  </si>
  <si>
    <t xml:space="preserve">YA00059297-004</t>
  </si>
  <si>
    <t xml:space="preserve">1950666581//03</t>
  </si>
  <si>
    <t xml:space="preserve">131009164/2-10961C</t>
  </si>
  <si>
    <t xml:space="preserve">YA00036678-006</t>
  </si>
  <si>
    <t xml:space="preserve">YJ00005606-000</t>
  </si>
  <si>
    <t xml:space="preserve">3471148801/0</t>
  </si>
  <si>
    <t xml:space="preserve">9M10E02192D0#01-2</t>
  </si>
  <si>
    <t xml:space="preserve">163409192/0-117310</t>
  </si>
  <si>
    <t xml:space="preserve">YF16E01022P3-001</t>
  </si>
  <si>
    <t xml:space="preserve">1000063592-3</t>
  </si>
  <si>
    <t xml:space="preserve">1980662142//04</t>
  </si>
  <si>
    <t xml:space="preserve">1950657620//00.</t>
  </si>
  <si>
    <t xml:space="preserve">4269263646//01</t>
  </si>
  <si>
    <t xml:space="preserve">1950655942//04</t>
  </si>
  <si>
    <t xml:space="preserve">㈱サンヨー北陸支店</t>
  </si>
  <si>
    <t xml:space="preserve">0005471-009</t>
  </si>
  <si>
    <t xml:space="preserve">YL00033643-001</t>
  </si>
  <si>
    <t xml:space="preserve">1540674145//08</t>
  </si>
  <si>
    <t xml:space="preserve">LQ14E01051P1-002</t>
  </si>
  <si>
    <t xml:space="preserve">YD00010761-004</t>
  </si>
  <si>
    <t xml:space="preserve">㈱日立建機ティエラ 日野倉庫</t>
  </si>
  <si>
    <t xml:space="preserve">TNA504A013B-A3</t>
  </si>
  <si>
    <t xml:space="preserve">YA00084019-001</t>
  </si>
  <si>
    <t xml:space="preserve">YA00028170-006</t>
  </si>
  <si>
    <t xml:space="preserve">YA00022592-002</t>
  </si>
  <si>
    <t xml:space="preserve">XV00005588-000</t>
  </si>
  <si>
    <t xml:space="preserve">チューブ；コルゲート</t>
  </si>
  <si>
    <t xml:space="preserve">3115311-001</t>
  </si>
  <si>
    <t xml:space="preserve">ULM272-5121Z0</t>
  </si>
  <si>
    <t xml:space="preserve">モニタ・通信ハーネス</t>
  </si>
  <si>
    <t xml:space="preserve">YA00084984-001</t>
  </si>
  <si>
    <t xml:space="preserve">YF11E01100P1-002</t>
  </si>
  <si>
    <t xml:space="preserve">YA00052650-001</t>
  </si>
  <si>
    <t xml:space="preserve">YA00098987-000</t>
  </si>
  <si>
    <t xml:space="preserve">YA00006321-008</t>
  </si>
  <si>
    <t xml:space="preserve">KHR25520-01</t>
  </si>
  <si>
    <t xml:space="preserve">LP13E01066P1-001</t>
  </si>
  <si>
    <t xml:space="preserve">LS14E01067P1-001</t>
  </si>
  <si>
    <t xml:space="preserve">YN11E01449P1-002</t>
  </si>
  <si>
    <t xml:space="preserve">YA00075190-000</t>
  </si>
  <si>
    <t xml:space="preserve">YY11E01281P2-002</t>
  </si>
  <si>
    <t xml:space="preserve">YJ00009304-000</t>
  </si>
  <si>
    <t xml:space="preserve">YN13E01649P1-002</t>
  </si>
  <si>
    <t xml:space="preserve">ULM272-5302B0</t>
  </si>
  <si>
    <r>
      <rPr>
        <sz val="10"/>
        <rFont val="Arial"/>
        <family val="0"/>
        <charset val="1"/>
      </rPr>
      <t xml:space="preserve">BCU580 J1</t>
    </r>
    <r>
      <rPr>
        <sz val="10"/>
        <rFont val="Noto Sans CJK SC"/>
        <family val="2"/>
      </rPr>
      <t xml:space="preserve">ハーネス</t>
    </r>
  </si>
  <si>
    <t xml:space="preserve">06842-00288-03</t>
  </si>
  <si>
    <t xml:space="preserve">1980662851//06</t>
  </si>
  <si>
    <t xml:space="preserve">TNB504A008-B2</t>
  </si>
  <si>
    <t xml:space="preserve">0007608-010</t>
  </si>
  <si>
    <t xml:space="preserve">YA00027722-004</t>
  </si>
  <si>
    <t xml:space="preserve">YX13E01063P2-001</t>
  </si>
  <si>
    <t xml:space="preserve">PLCU_TYPEB_0203</t>
  </si>
  <si>
    <t xml:space="preserve">1980663140//01</t>
  </si>
  <si>
    <t xml:space="preserve">YA00066139-000</t>
  </si>
  <si>
    <t xml:space="preserve">05542-00298-00</t>
  </si>
  <si>
    <t xml:space="preserve">YA00096619-000</t>
  </si>
  <si>
    <t xml:space="preserve">263F242071-000</t>
  </si>
  <si>
    <t xml:space="preserve">YL00004401-001</t>
  </si>
  <si>
    <t xml:space="preserve">1000158442-1</t>
  </si>
  <si>
    <t xml:space="preserve">131009227/0-211300</t>
  </si>
  <si>
    <t xml:space="preserve">615-2481HE00</t>
  </si>
  <si>
    <t xml:space="preserve">FS900--0704A0</t>
  </si>
  <si>
    <t xml:space="preserve">4320612630//02</t>
  </si>
  <si>
    <t xml:space="preserve">YA00095941-001</t>
  </si>
  <si>
    <t xml:space="preserve">YA00028747-000</t>
  </si>
  <si>
    <t xml:space="preserve">1950682771//01</t>
  </si>
  <si>
    <t xml:space="preserve">HCL584F060-G4</t>
  </si>
  <si>
    <t xml:space="preserve">KRR34131-00</t>
  </si>
  <si>
    <t xml:space="preserve">YN11E01598P1-002</t>
  </si>
  <si>
    <t xml:space="preserve">05642-00717-01</t>
  </si>
  <si>
    <t xml:space="preserve">YA00109797-000</t>
  </si>
  <si>
    <t xml:space="preserve">1950655632//01</t>
  </si>
  <si>
    <t xml:space="preserve">1036597-010</t>
  </si>
  <si>
    <t xml:space="preserve">0005695-010</t>
  </si>
  <si>
    <t xml:space="preserve">LQ14E01056P1-001</t>
  </si>
  <si>
    <t xml:space="preserve">LV13E01368P3-001</t>
  </si>
  <si>
    <t xml:space="preserve">1413709340-002</t>
  </si>
  <si>
    <t xml:space="preserve">LS14E01080P1-002</t>
  </si>
  <si>
    <t xml:space="preserve">141809659/0-147370</t>
  </si>
  <si>
    <t xml:space="preserve">1000166553-1</t>
  </si>
  <si>
    <t xml:space="preserve">YD00011406-003</t>
  </si>
  <si>
    <t xml:space="preserve">YD00016665-001</t>
  </si>
  <si>
    <t xml:space="preserve">4685402-001</t>
  </si>
  <si>
    <t xml:space="preserve">HCL584F029-F1</t>
  </si>
  <si>
    <t xml:space="preserve">YA00023889-001</t>
  </si>
  <si>
    <t xml:space="preserve">0001303-018</t>
  </si>
  <si>
    <t xml:space="preserve">YF13E01146P1-001</t>
  </si>
  <si>
    <t xml:space="preserve">YY13E01166P3-001</t>
  </si>
  <si>
    <t xml:space="preserve">3319446320-001</t>
  </si>
  <si>
    <t xml:space="preserve">1980662134//05</t>
  </si>
  <si>
    <t xml:space="preserve">ワイヤ　ハーネス</t>
  </si>
  <si>
    <t xml:space="preserve">646-4377HE02</t>
  </si>
  <si>
    <t xml:space="preserve">YA00102347-001</t>
  </si>
  <si>
    <t xml:space="preserve">06942-00414-04</t>
  </si>
  <si>
    <t xml:space="preserve">3319436230-000</t>
  </si>
  <si>
    <t xml:space="preserve">144909023/0-105010</t>
  </si>
  <si>
    <t xml:space="preserve">623-2500HE00</t>
  </si>
  <si>
    <t xml:space="preserve">YJ00005205-004</t>
  </si>
  <si>
    <t xml:space="preserve">623-4464HE01</t>
  </si>
  <si>
    <t xml:space="preserve">1540674421//03</t>
  </si>
  <si>
    <t xml:space="preserve">YF15E01028P1-001</t>
  </si>
  <si>
    <t xml:space="preserve">YA00078975-002</t>
  </si>
  <si>
    <t xml:space="preserve">23C0665130//01</t>
  </si>
  <si>
    <t xml:space="preserve">LS13E01275P1-001</t>
  </si>
  <si>
    <t xml:space="preserve">2A50683750//03</t>
  </si>
  <si>
    <t xml:space="preserve">291K2-42026</t>
  </si>
  <si>
    <t xml:space="preserve">㈱ロジスネクスト滋賀</t>
  </si>
  <si>
    <t xml:space="preserve">3BA5579711//01</t>
  </si>
  <si>
    <t xml:space="preserve">KAR17410-03</t>
  </si>
  <si>
    <t xml:space="preserve">ULM272A5203Z0-1</t>
  </si>
  <si>
    <t xml:space="preserve">コンソールボックスハーネス</t>
  </si>
  <si>
    <t xml:space="preserve">2444Z1630-001</t>
  </si>
  <si>
    <t xml:space="preserve">CONNECTER</t>
  </si>
  <si>
    <t xml:space="preserve">8448-610039K</t>
  </si>
  <si>
    <t xml:space="preserve">D/B HARNESS KIT:SW504</t>
  </si>
  <si>
    <t xml:space="preserve">590-1988HE00</t>
  </si>
  <si>
    <t xml:space="preserve">R809-226000//03</t>
  </si>
  <si>
    <t xml:space="preserve">松山㈱</t>
  </si>
  <si>
    <t xml:space="preserve">YN11E01558P2-001</t>
  </si>
  <si>
    <t xml:space="preserve">1000159337-3</t>
  </si>
  <si>
    <t xml:space="preserve">563G242051-000</t>
  </si>
  <si>
    <t xml:space="preserve">YA00082425-003</t>
  </si>
  <si>
    <t xml:space="preserve">KRR31311-01</t>
  </si>
  <si>
    <t xml:space="preserve">YA00108167-002</t>
  </si>
  <si>
    <t xml:space="preserve">GN13E01160P1-001</t>
  </si>
  <si>
    <t xml:space="preserve">YA00071526-001</t>
  </si>
  <si>
    <t xml:space="preserve">YA00024675-003</t>
  </si>
  <si>
    <t xml:space="preserve">1950657520//00.</t>
  </si>
  <si>
    <t xml:space="preserve">㈱クシベウィンテック京都工場</t>
  </si>
  <si>
    <t xml:space="preserve">HP0150K074#01-2</t>
  </si>
  <si>
    <t xml:space="preserve">YA00055690-002</t>
  </si>
  <si>
    <t xml:space="preserve">37A2GN5011//00</t>
  </si>
  <si>
    <t xml:space="preserve">M23582-00324</t>
  </si>
  <si>
    <t xml:space="preserve">ULM272A5302Z0</t>
  </si>
  <si>
    <t xml:space="preserve">前方バルブハーネス</t>
  </si>
  <si>
    <t xml:space="preserve">131009224/0-311270</t>
  </si>
  <si>
    <t xml:space="preserve">YA00027787-004</t>
  </si>
  <si>
    <t xml:space="preserve">YA00029869-005-1</t>
  </si>
  <si>
    <t xml:space="preserve">KHR69401-00</t>
  </si>
  <si>
    <t xml:space="preserve">YF13E01210P1-002</t>
  </si>
  <si>
    <t xml:space="preserve">GN13E01091P2-001</t>
  </si>
  <si>
    <t xml:space="preserve">17M0644210//01</t>
  </si>
  <si>
    <t xml:space="preserve">GH13E01085P1-001</t>
  </si>
  <si>
    <t xml:space="preserve">HCL584F052-C1</t>
  </si>
  <si>
    <t xml:space="preserve">141209048/0-303530</t>
  </si>
  <si>
    <t xml:space="preserve">LV14E01028P3-001</t>
  </si>
  <si>
    <t xml:space="preserve">21T0634231//01</t>
  </si>
  <si>
    <t xml:space="preserve">YA00061508-004</t>
  </si>
  <si>
    <t xml:space="preserve">2090645111//00</t>
  </si>
  <si>
    <t xml:space="preserve">P-EB35-712-7</t>
  </si>
  <si>
    <t xml:space="preserve">YA00083066-001</t>
  </si>
  <si>
    <t xml:space="preserve">17M0643843//05</t>
  </si>
  <si>
    <t xml:space="preserve">9M10E02192D0#02-2</t>
  </si>
  <si>
    <t xml:space="preserve">1980651324//06</t>
  </si>
  <si>
    <t xml:space="preserve">KSR18402-00</t>
  </si>
  <si>
    <t xml:space="preserve">TNA504A002B-B3</t>
  </si>
  <si>
    <t xml:space="preserve">YY16E01024P1-001</t>
  </si>
  <si>
    <t xml:space="preserve">YN16E01049P4-001</t>
  </si>
  <si>
    <t xml:space="preserve">YA00072920-002</t>
  </si>
  <si>
    <t xml:space="preserve">1950657530//00.</t>
  </si>
  <si>
    <t xml:space="preserve">3115796-002</t>
  </si>
  <si>
    <t xml:space="preserve">YA00077379-000</t>
  </si>
  <si>
    <t xml:space="preserve">144809047/0-10839B</t>
  </si>
  <si>
    <t xml:space="preserve">JD13E01326P1-001</t>
  </si>
  <si>
    <t xml:space="preserve">37A2FN5661//01</t>
  </si>
  <si>
    <t xml:space="preserve">3UH-76141-000</t>
  </si>
  <si>
    <t xml:space="preserve">KRR21806-06</t>
  </si>
  <si>
    <t xml:space="preserve">KRR21806-05</t>
  </si>
  <si>
    <t xml:space="preserve">LC13E01775P4-001</t>
  </si>
  <si>
    <t xml:space="preserve">YA00083281-001</t>
  </si>
  <si>
    <t xml:space="preserve">YA00069567-001</t>
  </si>
  <si>
    <t xml:space="preserve">LS14E01092P1-001</t>
  </si>
  <si>
    <t xml:space="preserve">YA00102348-002</t>
  </si>
  <si>
    <t xml:space="preserve">1950657540//00.</t>
  </si>
  <si>
    <t xml:space="preserve">YD00009276-002</t>
  </si>
  <si>
    <t xml:space="preserve">FS1710-1503A0-2</t>
  </si>
  <si>
    <t xml:space="preserve">LS13E01649P2-001</t>
  </si>
  <si>
    <t xml:space="preserve">P-EB35-711-7</t>
  </si>
  <si>
    <t xml:space="preserve">ULM272-5305Z0</t>
  </si>
  <si>
    <r>
      <rPr>
        <sz val="10"/>
        <rFont val="Arial"/>
        <family val="0"/>
        <charset val="1"/>
      </rPr>
      <t xml:space="preserve">BCU580 J2</t>
    </r>
    <r>
      <rPr>
        <sz val="10"/>
        <rFont val="Noto Sans CJK SC"/>
        <family val="2"/>
      </rPr>
      <t xml:space="preserve">ハーネス</t>
    </r>
  </si>
  <si>
    <t xml:space="preserve">1000099193-1</t>
  </si>
  <si>
    <t xml:space="preserve">1950655931//02</t>
  </si>
  <si>
    <t xml:space="preserve">LQ13E01459P4-001</t>
  </si>
  <si>
    <t xml:space="preserve">YA00072413-001</t>
  </si>
  <si>
    <t xml:space="preserve">3319446310-002</t>
  </si>
  <si>
    <t xml:space="preserve">YA00017877-009</t>
  </si>
  <si>
    <t xml:space="preserve">LC14E01083P2-003</t>
  </si>
  <si>
    <t xml:space="preserve">YA00044403-001</t>
  </si>
  <si>
    <t xml:space="preserve">2070675161//00</t>
  </si>
  <si>
    <t xml:space="preserve">580-3366HE00</t>
  </si>
  <si>
    <t xml:space="preserve">3BA5771121//00</t>
  </si>
  <si>
    <t xml:space="preserve">579-9900HE00</t>
  </si>
  <si>
    <t xml:space="preserve">389954162/0-32140A</t>
  </si>
  <si>
    <t xml:space="preserve">CORD</t>
  </si>
  <si>
    <t xml:space="preserve">YL00020867-006</t>
  </si>
  <si>
    <t xml:space="preserve">140609059/3-10997C</t>
  </si>
  <si>
    <t xml:space="preserve">YF13E01198P1-002</t>
  </si>
  <si>
    <t xml:space="preserve">YA00061732-005</t>
  </si>
  <si>
    <t xml:space="preserve">YA00073636-001</t>
  </si>
  <si>
    <t xml:space="preserve">628-7690HE00</t>
  </si>
  <si>
    <t xml:space="preserve">579-9937HE00</t>
  </si>
  <si>
    <t xml:space="preserve">YA00052288-000</t>
  </si>
  <si>
    <t xml:space="preserve">TNA504A002A-B3</t>
  </si>
  <si>
    <t xml:space="preserve">M568-184000-1</t>
  </si>
  <si>
    <t xml:space="preserve">サイドハーネスＲ</t>
  </si>
  <si>
    <t xml:space="preserve">YA00084280-003</t>
  </si>
  <si>
    <t xml:space="preserve">TJJ504A219-01</t>
  </si>
  <si>
    <t xml:space="preserve">42C0613693//00</t>
  </si>
  <si>
    <t xml:space="preserve">LQ13E01529P1-001</t>
  </si>
  <si>
    <t xml:space="preserve">HCL584F027-F1</t>
  </si>
  <si>
    <t xml:space="preserve">1950656630//02</t>
  </si>
  <si>
    <t xml:space="preserve">17M0643131//03</t>
  </si>
  <si>
    <t xml:space="preserve">YA00102349-000</t>
  </si>
  <si>
    <t xml:space="preserve">YN14E01205P1-002</t>
  </si>
  <si>
    <t xml:space="preserve">YA00070167-000</t>
  </si>
  <si>
    <t xml:space="preserve">YA00018384-013</t>
  </si>
  <si>
    <t xml:space="preserve">17AZ112143//02</t>
  </si>
  <si>
    <t xml:space="preserve">K0018832-02</t>
  </si>
  <si>
    <t xml:space="preserve">㈱技研製作所</t>
  </si>
  <si>
    <t xml:space="preserve">LM531--0550A0</t>
  </si>
  <si>
    <t xml:space="preserve">YA00025853-001</t>
  </si>
  <si>
    <t xml:space="preserve">1950655621//00</t>
  </si>
  <si>
    <t xml:space="preserve">YL00014316-005</t>
  </si>
  <si>
    <t xml:space="preserve">GG11E01377P2-001</t>
  </si>
  <si>
    <t xml:space="preserve">5610686461//01</t>
  </si>
  <si>
    <t xml:space="preserve">1000073788-4</t>
  </si>
  <si>
    <t xml:space="preserve">YA00055720-004</t>
  </si>
  <si>
    <t xml:space="preserve">0006547-009</t>
  </si>
  <si>
    <t xml:space="preserve">LV15E01112P2-002</t>
  </si>
  <si>
    <t xml:space="preserve">WIREHARNESS</t>
  </si>
  <si>
    <t xml:space="preserve">1030243-008</t>
  </si>
  <si>
    <t xml:space="preserve">YA00079590-002</t>
  </si>
  <si>
    <t xml:space="preserve">3319450630-001</t>
  </si>
  <si>
    <t xml:space="preserve">YL00022607-007</t>
  </si>
  <si>
    <t xml:space="preserve">17A9792941//01</t>
  </si>
  <si>
    <t xml:space="preserve">1980685363//04</t>
  </si>
  <si>
    <t xml:space="preserve">646-4378HE01</t>
  </si>
  <si>
    <t xml:space="preserve">1980662132//03</t>
  </si>
  <si>
    <t xml:space="preserve">YA00098778-001</t>
  </si>
  <si>
    <t xml:space="preserve">645-1632HE01</t>
  </si>
  <si>
    <t xml:space="preserve">1950677171//00</t>
  </si>
  <si>
    <t xml:space="preserve">YD00010702-004</t>
  </si>
  <si>
    <t xml:space="preserve">KLR12210-00</t>
  </si>
  <si>
    <t xml:space="preserve">C33582-08900</t>
  </si>
  <si>
    <t xml:space="preserve">1000090637-1</t>
  </si>
  <si>
    <t xml:space="preserve">3319450550-000</t>
  </si>
  <si>
    <t xml:space="preserve">YL00009725-013</t>
  </si>
  <si>
    <t xml:space="preserve">LS80E01012P1-001</t>
  </si>
  <si>
    <t xml:space="preserve">22U0622570//00</t>
  </si>
  <si>
    <t xml:space="preserve">GN13E01116P1-001</t>
  </si>
  <si>
    <t xml:space="preserve">YA00108166-000</t>
  </si>
  <si>
    <t xml:space="preserve">YL00010473-007</t>
  </si>
  <si>
    <t xml:space="preserve">YA60002196-000</t>
  </si>
  <si>
    <t xml:space="preserve">KRR1704X-03</t>
  </si>
  <si>
    <t xml:space="preserve">HCL584F047-H3</t>
  </si>
  <si>
    <t xml:space="preserve">YN14E01199P4-001</t>
  </si>
  <si>
    <t xml:space="preserve">0005706-022</t>
  </si>
  <si>
    <t xml:space="preserve">1000099185-2</t>
  </si>
  <si>
    <t xml:space="preserve">SP05A--0602Z0</t>
  </si>
  <si>
    <t xml:space="preserve">YF14E01039P1-002</t>
  </si>
  <si>
    <t xml:space="preserve">YY13E01665P1-002</t>
  </si>
  <si>
    <t xml:space="preserve">LN13E01004P3-001</t>
  </si>
  <si>
    <t xml:space="preserve">17A9792921//02</t>
  </si>
  <si>
    <t xml:space="preserve">YA00099569-000</t>
  </si>
  <si>
    <t xml:space="preserve">PR113-68614-0</t>
  </si>
  <si>
    <t xml:space="preserve">因幡電機産業㈱</t>
  </si>
  <si>
    <t xml:space="preserve">HCL584F122-F3</t>
  </si>
  <si>
    <t xml:space="preserve">2058044-008</t>
  </si>
  <si>
    <t xml:space="preserve">R886-153000//05</t>
  </si>
  <si>
    <t xml:space="preserve">YA00084732-006</t>
  </si>
  <si>
    <t xml:space="preserve">YN13E02253P2-001</t>
  </si>
  <si>
    <t xml:space="preserve">283-0056- 03</t>
  </si>
  <si>
    <t xml:space="preserve">KHR69490-02</t>
  </si>
  <si>
    <t xml:space="preserve">1000063545-5</t>
  </si>
  <si>
    <t xml:space="preserve">4147070010-001</t>
  </si>
  <si>
    <t xml:space="preserve">PULLEY</t>
  </si>
  <si>
    <t xml:space="preserve">HP0150K057#01-6</t>
  </si>
  <si>
    <t xml:space="preserve">YA00090656-000</t>
  </si>
  <si>
    <t xml:space="preserve">YA00058299-001</t>
  </si>
  <si>
    <t xml:space="preserve">17M0643911//01</t>
  </si>
  <si>
    <t xml:space="preserve">YA00095515-001</t>
  </si>
  <si>
    <t xml:space="preserve">1950678441//01</t>
  </si>
  <si>
    <t xml:space="preserve">HCL584F050-G2</t>
  </si>
  <si>
    <t xml:space="preserve">KRR34140-00</t>
  </si>
  <si>
    <t xml:space="preserve">580-3364HE00</t>
  </si>
  <si>
    <t xml:space="preserve">17M0643192//03</t>
  </si>
  <si>
    <t xml:space="preserve">1980671321//06</t>
  </si>
  <si>
    <t xml:space="preserve">FBR13551-00</t>
  </si>
  <si>
    <r>
      <rPr>
        <sz val="10"/>
        <rFont val="Noto Sans CJK SC"/>
        <family val="2"/>
      </rPr>
      <t xml:space="preserve">スイッチパネル</t>
    </r>
    <r>
      <rPr>
        <sz val="10"/>
        <rFont val="Arial"/>
        <family val="0"/>
        <charset val="1"/>
      </rPr>
      <t xml:space="preserve">Assy</t>
    </r>
  </si>
  <si>
    <t xml:space="preserve">LV13E01336P2-001</t>
  </si>
  <si>
    <t xml:space="preserve">LS13E01557P3-001</t>
  </si>
  <si>
    <t xml:space="preserve">YA00033153-001</t>
  </si>
  <si>
    <t xml:space="preserve">9M10E02246P1-1</t>
  </si>
  <si>
    <t xml:space="preserve">KSR20702-00</t>
  </si>
  <si>
    <t xml:space="preserve">LC13E01657P1-001</t>
  </si>
  <si>
    <t xml:space="preserve">144909020/0-104950</t>
  </si>
  <si>
    <t xml:space="preserve">9M10E02244P1-1</t>
  </si>
  <si>
    <t xml:space="preserve">YY11E01413P1-001</t>
  </si>
  <si>
    <t xml:space="preserve">491960000/0-132470</t>
  </si>
  <si>
    <t xml:space="preserve">LQ13E01173P1-001</t>
  </si>
  <si>
    <t xml:space="preserve">ケーブル</t>
  </si>
  <si>
    <t xml:space="preserve">YY16E01015P2-002</t>
  </si>
  <si>
    <t xml:space="preserve">HP0150K058#01-6</t>
  </si>
  <si>
    <t xml:space="preserve">YA00015952-002</t>
  </si>
  <si>
    <t xml:space="preserve">YN11E01609P1-001</t>
  </si>
  <si>
    <t xml:space="preserve">1000063604-5</t>
  </si>
  <si>
    <t xml:space="preserve">YA00002439-005</t>
  </si>
  <si>
    <t xml:space="preserve">XV00005537-000</t>
  </si>
  <si>
    <t xml:space="preserve">21T0658420//02</t>
  </si>
  <si>
    <t xml:space="preserve">YF13E01165P1-001</t>
  </si>
  <si>
    <t xml:space="preserve">YA00018534-001</t>
  </si>
  <si>
    <t xml:space="preserve">TNA504A006-A2</t>
  </si>
  <si>
    <t xml:space="preserve">1540674112//02</t>
  </si>
  <si>
    <t xml:space="preserve">42CZ897792//00</t>
  </si>
  <si>
    <t xml:space="preserve">HP0150K056#01-7</t>
  </si>
  <si>
    <t xml:space="preserve">LQ13E01397P1-002</t>
  </si>
  <si>
    <t xml:space="preserve">YF13E01168P1-001</t>
  </si>
  <si>
    <t xml:space="preserve">YA00031813-004</t>
  </si>
  <si>
    <t xml:space="preserve">0008051-012</t>
  </si>
  <si>
    <t xml:space="preserve">LC14E01078P1-002</t>
  </si>
  <si>
    <t xml:space="preserve">YF13E01166P1-001</t>
  </si>
  <si>
    <t xml:space="preserve">05542-00441-01</t>
  </si>
  <si>
    <t xml:space="preserve">YA00004492-002</t>
  </si>
  <si>
    <t xml:space="preserve">LC13E01606P1-001</t>
  </si>
  <si>
    <t xml:space="preserve">KLR12471-02</t>
  </si>
  <si>
    <t xml:space="preserve">GG13E01233P1-002</t>
  </si>
  <si>
    <t xml:space="preserve">CABLE</t>
  </si>
  <si>
    <t xml:space="preserve">YF13E01169P1-001</t>
  </si>
  <si>
    <t xml:space="preserve">263G2-44501</t>
  </si>
  <si>
    <t xml:space="preserve">GG11E01395P1-001</t>
  </si>
  <si>
    <t xml:space="preserve">KRR29931-00</t>
  </si>
  <si>
    <t xml:space="preserve">YA00077785-003</t>
  </si>
  <si>
    <t xml:space="preserve">1000063535-5</t>
  </si>
  <si>
    <t xml:space="preserve">YY13E01511P5-001</t>
  </si>
  <si>
    <t xml:space="preserve">YF13E01170P1-002</t>
  </si>
  <si>
    <t xml:space="preserve">TNA504A024-A3</t>
  </si>
  <si>
    <t xml:space="preserve">3319448080-000</t>
  </si>
  <si>
    <t xml:space="preserve">HCL584F089A-C</t>
  </si>
  <si>
    <t xml:space="preserve">YA00042039-001</t>
  </si>
  <si>
    <t xml:space="preserve">LS16E01054P1-002</t>
  </si>
  <si>
    <t xml:space="preserve">YN13E01898P2-001</t>
  </si>
  <si>
    <t xml:space="preserve">0007607-008</t>
  </si>
  <si>
    <t xml:space="preserve">ELJ0026-100</t>
  </si>
  <si>
    <r>
      <rPr>
        <sz val="10"/>
        <rFont val="Noto Sans CJK SC"/>
        <family val="2"/>
      </rPr>
      <t xml:space="preserve">コルゲート</t>
    </r>
    <r>
      <rPr>
        <sz val="10"/>
        <rFont val="Arial"/>
        <family val="0"/>
        <charset val="1"/>
      </rPr>
      <t xml:space="preserve">22φ</t>
    </r>
  </si>
  <si>
    <t xml:space="preserve">9M10E02221P1-1</t>
  </si>
  <si>
    <t xml:space="preserve">KRR29681-00</t>
  </si>
  <si>
    <t xml:space="preserve">21T0642211//02</t>
  </si>
  <si>
    <t xml:space="preserve">コマツ金沢工場</t>
  </si>
  <si>
    <t xml:space="preserve">YA00014030-002</t>
  </si>
  <si>
    <t xml:space="preserve">YN14E01197P1-002</t>
  </si>
  <si>
    <t xml:space="preserve">YA00042040-001</t>
  </si>
  <si>
    <t xml:space="preserve">4681836-003</t>
  </si>
  <si>
    <t xml:space="preserve">YA00101629-000</t>
  </si>
  <si>
    <t xml:space="preserve">KRR29680-05</t>
  </si>
  <si>
    <t xml:space="preserve">A24A220900-0010</t>
  </si>
  <si>
    <t xml:space="preserve">K0022149-01</t>
  </si>
  <si>
    <t xml:space="preserve">1000077499-2</t>
  </si>
  <si>
    <t xml:space="preserve">1950656553//04</t>
  </si>
  <si>
    <t xml:space="preserve">㈱汎建製作所</t>
  </si>
  <si>
    <t xml:space="preserve">YA00105576-000</t>
  </si>
  <si>
    <t xml:space="preserve">1000073822-5</t>
  </si>
  <si>
    <t xml:space="preserve">HP0150K055#01-6</t>
  </si>
  <si>
    <t xml:space="preserve">KHR57971-00</t>
  </si>
  <si>
    <t xml:space="preserve">YY13E01375P1-001</t>
  </si>
  <si>
    <t xml:space="preserve">LV13E01414P1-001</t>
  </si>
  <si>
    <t xml:space="preserve">WIRE HAENESS</t>
  </si>
  <si>
    <t xml:space="preserve">YA00006362-000</t>
  </si>
  <si>
    <t xml:space="preserve">131009167/1-20964B</t>
  </si>
  <si>
    <t xml:space="preserve">LV13E01387P1-001</t>
  </si>
  <si>
    <t xml:space="preserve">198Z116511//03</t>
  </si>
  <si>
    <t xml:space="preserve">YL00021005-010</t>
  </si>
  <si>
    <t xml:space="preserve">LS14E01075P1-004</t>
  </si>
  <si>
    <t xml:space="preserve">HCL584F051-B1</t>
  </si>
  <si>
    <t xml:space="preserve">P-EB35-1417#02-4</t>
  </si>
  <si>
    <t xml:space="preserve">YA00069950-000</t>
  </si>
  <si>
    <t xml:space="preserve">K0018806-03</t>
  </si>
  <si>
    <t xml:space="preserve">YA00059266-002</t>
  </si>
  <si>
    <t xml:space="preserve">HCL584F126-D2</t>
  </si>
  <si>
    <t xml:space="preserve">YA00099110-004KAI</t>
  </si>
  <si>
    <t xml:space="preserve">YA00023208-000</t>
  </si>
  <si>
    <t xml:space="preserve">LS14E01040P1-001</t>
  </si>
  <si>
    <t xml:space="preserve">9M10E02219P1-1</t>
  </si>
  <si>
    <t xml:space="preserve">YA00000058-013</t>
  </si>
  <si>
    <t xml:space="preserve">KRR33751-00</t>
  </si>
  <si>
    <t xml:space="preserve">1000090049-3</t>
  </si>
  <si>
    <t xml:space="preserve">YA00014703-005</t>
  </si>
  <si>
    <t xml:space="preserve">YA00087422-000</t>
  </si>
  <si>
    <t xml:space="preserve">HP0080K064#01-2</t>
  </si>
  <si>
    <t xml:space="preserve">23C0665230//01</t>
  </si>
  <si>
    <t xml:space="preserve">1000077457-2</t>
  </si>
  <si>
    <t xml:space="preserve">9F10E01450P1-3</t>
  </si>
  <si>
    <t xml:space="preserve">2047517-002</t>
  </si>
  <si>
    <t xml:space="preserve">9M10E02211P1-1</t>
  </si>
  <si>
    <t xml:space="preserve">3UG-06821-1A0</t>
  </si>
  <si>
    <t xml:space="preserve">3BA5172122//00</t>
  </si>
  <si>
    <t xml:space="preserve">YY11E01216P1-001</t>
  </si>
  <si>
    <t xml:space="preserve">LM551--0525A0</t>
  </si>
  <si>
    <t xml:space="preserve">リレー配線Ｒ</t>
  </si>
  <si>
    <t xml:space="preserve">1950672780//02</t>
  </si>
  <si>
    <t xml:space="preserve">YF13E01164P1-001</t>
  </si>
  <si>
    <t xml:space="preserve">YL00011489-006</t>
  </si>
  <si>
    <t xml:space="preserve">21T0632212//03</t>
  </si>
  <si>
    <t xml:space="preserve">3SS-06821-1A0</t>
  </si>
  <si>
    <t xml:space="preserve">HCL584F064-D2</t>
  </si>
  <si>
    <t xml:space="preserve">YA00060811-002</t>
  </si>
  <si>
    <t xml:space="preserve">3BA5172290//01</t>
  </si>
  <si>
    <t xml:space="preserve">KHR78951-00</t>
  </si>
  <si>
    <t xml:space="preserve">YA00023321-003</t>
  </si>
  <si>
    <t xml:space="preserve">ADR30002-01</t>
  </si>
  <si>
    <t xml:space="preserve">YN13E01683P1-001</t>
  </si>
  <si>
    <r>
      <rPr>
        <sz val="10"/>
        <rFont val="Arial"/>
        <family val="0"/>
        <charset val="1"/>
      </rPr>
      <t xml:space="preserve">WIRING HARNESS</t>
    </r>
    <r>
      <rPr>
        <sz val="10"/>
        <rFont val="Noto Sans CJK SC"/>
        <family val="2"/>
      </rPr>
      <t xml:space="preserve">Ｓ（フロア）</t>
    </r>
  </si>
  <si>
    <t xml:space="preserve">YA00036480-001</t>
  </si>
  <si>
    <t xml:space="preserve">YA00071177-000</t>
  </si>
  <si>
    <t xml:space="preserve">1000077480-5</t>
  </si>
  <si>
    <t xml:space="preserve">131009172/2-10983B</t>
  </si>
  <si>
    <t xml:space="preserve">YA00083779-001</t>
  </si>
  <si>
    <t xml:space="preserve">YA00066954-002</t>
  </si>
  <si>
    <t xml:space="preserve">HCL584F031-F1</t>
  </si>
  <si>
    <t xml:space="preserve">YN15E01180P1-003</t>
  </si>
  <si>
    <t xml:space="preserve">1413709410-004</t>
  </si>
  <si>
    <t xml:space="preserve">YA00108048-003</t>
  </si>
  <si>
    <t xml:space="preserve">621-6441HE00</t>
  </si>
  <si>
    <t xml:space="preserve">YN13E01482P1-001</t>
  </si>
  <si>
    <t xml:space="preserve">YA00070814-000</t>
  </si>
  <si>
    <t xml:space="preserve">YA00015215-001</t>
  </si>
  <si>
    <t xml:space="preserve">03742-00302-01</t>
  </si>
  <si>
    <t xml:space="preserve">YA00039104-002</t>
  </si>
  <si>
    <t xml:space="preserve">HP0150K059#01-6</t>
  </si>
  <si>
    <t xml:space="preserve">YA00098779-001</t>
  </si>
  <si>
    <t xml:space="preserve">YA00033055-001</t>
  </si>
  <si>
    <t xml:space="preserve">HCL584F056-F1</t>
  </si>
  <si>
    <t xml:space="preserve">ULM272A5401Z0</t>
  </si>
  <si>
    <t xml:space="preserve">バンパ－センサ－ハーネス</t>
  </si>
  <si>
    <t xml:space="preserve">ELJ0118-130</t>
  </si>
  <si>
    <r>
      <rPr>
        <sz val="10"/>
        <rFont val="Noto Sans CJK SC"/>
        <family val="2"/>
      </rPr>
      <t xml:space="preserve">コルゲート</t>
    </r>
    <r>
      <rPr>
        <sz val="10"/>
        <rFont val="Arial"/>
        <family val="0"/>
        <charset val="1"/>
      </rPr>
      <t xml:space="preserve">19φ</t>
    </r>
  </si>
  <si>
    <t xml:space="preserve">42C0613331//00</t>
  </si>
  <si>
    <t xml:space="preserve">8255066171//00</t>
  </si>
  <si>
    <t xml:space="preserve">C03582-49800A</t>
  </si>
  <si>
    <t xml:space="preserve">YA00036121-000</t>
  </si>
  <si>
    <t xml:space="preserve">YA00086274-001</t>
  </si>
  <si>
    <t xml:space="preserve">YA00090657-000</t>
  </si>
  <si>
    <t xml:space="preserve">HP0150K060#01-5</t>
  </si>
  <si>
    <t xml:space="preserve">2060683370//00</t>
  </si>
  <si>
    <t xml:space="preserve">YF15E01035P1-002</t>
  </si>
  <si>
    <t xml:space="preserve">144909024/0-105030</t>
  </si>
  <si>
    <t xml:space="preserve">4652915-003</t>
  </si>
  <si>
    <t xml:space="preserve">G3648013400</t>
  </si>
  <si>
    <t xml:space="preserve">G3648013500</t>
  </si>
  <si>
    <t xml:space="preserve">LM551--2527A0-1</t>
  </si>
  <si>
    <r>
      <rPr>
        <sz val="10"/>
        <rFont val="Noto Sans CJK SC"/>
        <family val="2"/>
      </rPr>
      <t xml:space="preserve">メインハーネス（</t>
    </r>
    <r>
      <rPr>
        <sz val="10"/>
        <rFont val="Arial"/>
        <family val="0"/>
        <charset val="1"/>
      </rPr>
      <t xml:space="preserve">E3B</t>
    </r>
    <r>
      <rPr>
        <sz val="10"/>
        <rFont val="Noto Sans CJK SC"/>
        <family val="2"/>
      </rPr>
      <t xml:space="preserve">）</t>
    </r>
  </si>
  <si>
    <t xml:space="preserve">585-1891HE00</t>
  </si>
  <si>
    <t xml:space="preserve">130809024/0-20389B</t>
  </si>
  <si>
    <t xml:space="preserve">YA00080716-005</t>
  </si>
  <si>
    <t xml:space="preserve">141809673/0-148400</t>
  </si>
  <si>
    <t xml:space="preserve">A24A230901-0000-1</t>
  </si>
  <si>
    <t xml:space="preserve">1000210965-1</t>
  </si>
  <si>
    <t xml:space="preserve">KWR11260-01</t>
  </si>
  <si>
    <t xml:space="preserve">17A0641860//01</t>
  </si>
  <si>
    <t xml:space="preserve">G3648013601-0</t>
  </si>
  <si>
    <t xml:space="preserve">YD00002460-014</t>
  </si>
  <si>
    <t xml:space="preserve">HCL584F092-D2</t>
  </si>
  <si>
    <t xml:space="preserve">YD00014926-001</t>
  </si>
  <si>
    <t xml:space="preserve">K0018905-03</t>
  </si>
  <si>
    <t xml:space="preserve">ULM272A7016Z0</t>
  </si>
  <si>
    <r>
      <rPr>
        <sz val="10"/>
        <rFont val="Arial"/>
        <family val="0"/>
        <charset val="1"/>
      </rPr>
      <t xml:space="preserve">LiDAR</t>
    </r>
    <r>
      <rPr>
        <sz val="10"/>
        <rFont val="Noto Sans CJK SC"/>
        <family val="2"/>
      </rPr>
      <t xml:space="preserve">オプションハーネス</t>
    </r>
  </si>
  <si>
    <t xml:space="preserve">YA00032551-003</t>
  </si>
  <si>
    <t xml:space="preserve">TNA504A032-01</t>
  </si>
  <si>
    <t xml:space="preserve">YN13E01896P1-001</t>
  </si>
  <si>
    <t xml:space="preserve">YL00033822-001</t>
  </si>
  <si>
    <t xml:space="preserve">1033702-004</t>
  </si>
  <si>
    <t xml:space="preserve">HCL584F098-C1</t>
  </si>
  <si>
    <t xml:space="preserve">389954115/0-306350</t>
  </si>
  <si>
    <t xml:space="preserve">BATTERY CORD</t>
  </si>
  <si>
    <t xml:space="preserve">1000286355-2</t>
  </si>
  <si>
    <t xml:space="preserve">23C0665150//01</t>
  </si>
  <si>
    <t xml:space="preserve">YY11E01283P2-001</t>
  </si>
  <si>
    <t xml:space="preserve">4655322-004</t>
  </si>
  <si>
    <t xml:space="preserve">YA00111134-000</t>
  </si>
  <si>
    <t xml:space="preserve">YA00093421-000</t>
  </si>
  <si>
    <t xml:space="preserve">130109089/0-108760</t>
  </si>
  <si>
    <t xml:space="preserve">9F10E01902P1-2</t>
  </si>
  <si>
    <t xml:space="preserve">LS13E01679P1-001</t>
  </si>
  <si>
    <t xml:space="preserve">YA00036481-001</t>
  </si>
  <si>
    <t xml:space="preserve">LM551--0524A0</t>
  </si>
  <si>
    <r>
      <rPr>
        <sz val="10"/>
        <rFont val="Noto Sans CJK SC"/>
        <family val="2"/>
      </rPr>
      <t xml:space="preserve">リレー配線</t>
    </r>
    <r>
      <rPr>
        <sz val="10"/>
        <rFont val="Arial"/>
        <family val="0"/>
        <charset val="1"/>
      </rPr>
      <t xml:space="preserve">L</t>
    </r>
  </si>
  <si>
    <t xml:space="preserve">TJK504A106</t>
  </si>
  <si>
    <t xml:space="preserve">621-8925HE00</t>
  </si>
  <si>
    <t xml:space="preserve">37A2FN5621//01</t>
  </si>
  <si>
    <t xml:space="preserve">23C0661261//03</t>
  </si>
  <si>
    <t xml:space="preserve">YD00013546-001</t>
  </si>
  <si>
    <t xml:space="preserve">1950655521//03</t>
  </si>
  <si>
    <t xml:space="preserve">YA00072928-000</t>
  </si>
  <si>
    <t xml:space="preserve">TNA504A027-A1</t>
  </si>
  <si>
    <t xml:space="preserve">YA00086572-000</t>
  </si>
  <si>
    <t xml:space="preserve">131009077/1-30686A</t>
  </si>
  <si>
    <t xml:space="preserve">HCL584F100-C2</t>
  </si>
  <si>
    <t xml:space="preserve">07081-00220-00</t>
  </si>
  <si>
    <t xml:space="preserve">563G242721-000</t>
  </si>
  <si>
    <t xml:space="preserve">03742-00291-00</t>
  </si>
  <si>
    <t xml:space="preserve">LS13E01456P3-002</t>
  </si>
  <si>
    <t xml:space="preserve">42CZ895581//02</t>
  </si>
  <si>
    <t xml:space="preserve">06542-00077-01</t>
  </si>
  <si>
    <t xml:space="preserve">YA00071178-000</t>
  </si>
  <si>
    <t xml:space="preserve">YN11E01599P1-002</t>
  </si>
  <si>
    <t xml:space="preserve">YA00060581-002</t>
  </si>
  <si>
    <t xml:space="preserve">KHR58360-03</t>
  </si>
  <si>
    <t xml:space="preserve">1950657541//01</t>
  </si>
  <si>
    <t xml:space="preserve">YA00048249-003</t>
  </si>
  <si>
    <t xml:space="preserve">579-5620HE00</t>
  </si>
  <si>
    <t xml:space="preserve">YA00048246-001</t>
  </si>
  <si>
    <t xml:space="preserve">9G10E01908P1-2</t>
  </si>
  <si>
    <t xml:space="preserve">YA00026965-001</t>
  </si>
  <si>
    <t xml:space="preserve">1000423916-2</t>
  </si>
  <si>
    <t xml:space="preserve">17A0641821//03</t>
  </si>
  <si>
    <t xml:space="preserve">0004772-003</t>
  </si>
  <si>
    <t xml:space="preserve">644-5948HE01</t>
  </si>
  <si>
    <t xml:space="preserve">05660-00759-01</t>
  </si>
  <si>
    <t xml:space="preserve">17M0641242//00</t>
  </si>
  <si>
    <t xml:space="preserve">1000090574-2</t>
  </si>
  <si>
    <t xml:space="preserve">3VS-76037-0A0</t>
  </si>
  <si>
    <t xml:space="preserve">23C0665221//03</t>
  </si>
  <si>
    <t xml:space="preserve">小松電業所（電業ｼｽﾃﾑ）</t>
  </si>
  <si>
    <t xml:space="preserve">42C0613411//02</t>
  </si>
  <si>
    <t xml:space="preserve">KHR43730-01</t>
  </si>
  <si>
    <t xml:space="preserve">1980663381//01-M</t>
  </si>
  <si>
    <t xml:space="preserve">17M0643811//02</t>
  </si>
  <si>
    <t xml:space="preserve">4677473-000-</t>
  </si>
  <si>
    <t xml:space="preserve">LS16E01060P1-001</t>
  </si>
  <si>
    <t xml:space="preserve">HCL584F065-C1</t>
  </si>
  <si>
    <t xml:space="preserve">LS13E01666P1-001</t>
  </si>
  <si>
    <t xml:space="preserve">4270625143//00</t>
  </si>
  <si>
    <t xml:space="preserve">HCL584F056B-F1</t>
  </si>
  <si>
    <t xml:space="preserve">KHR50920-00</t>
  </si>
  <si>
    <t xml:space="preserve">YF11E01099P2-002</t>
  </si>
  <si>
    <t xml:space="preserve">LV16E01021P2-001</t>
  </si>
  <si>
    <t xml:space="preserve">3319450930-000</t>
  </si>
  <si>
    <t xml:space="preserve">491658000/0-429450A</t>
  </si>
  <si>
    <t xml:space="preserve">TERMINAL</t>
  </si>
  <si>
    <t xml:space="preserve">1000177203-1</t>
  </si>
  <si>
    <t xml:space="preserve">3319441930-000</t>
  </si>
  <si>
    <t xml:space="preserve">YA00080827-002</t>
  </si>
  <si>
    <t xml:space="preserve">4147070080-001</t>
  </si>
  <si>
    <t xml:space="preserve">JD11E01122P1-002</t>
  </si>
  <si>
    <t xml:space="preserve">HP0150K010-5</t>
  </si>
  <si>
    <t xml:space="preserve">YA00083664-000</t>
  </si>
  <si>
    <t xml:space="preserve">4382181-001</t>
  </si>
  <si>
    <t xml:space="preserve">LS16E01043P2-002</t>
  </si>
  <si>
    <t xml:space="preserve">YA00004482-003</t>
  </si>
  <si>
    <t xml:space="preserve">HP0150K044#01-3</t>
  </si>
  <si>
    <t xml:space="preserve">3319443180-001</t>
  </si>
  <si>
    <t xml:space="preserve">YY13E01664P1-001</t>
  </si>
  <si>
    <t xml:space="preserve">YA00018383-015</t>
  </si>
  <si>
    <t xml:space="preserve">4683697-003</t>
  </si>
  <si>
    <t xml:space="preserve">エンコーダ</t>
  </si>
  <si>
    <t xml:space="preserve">YA00091191-003</t>
  </si>
  <si>
    <t xml:space="preserve">3BA5773510//00</t>
  </si>
  <si>
    <t xml:space="preserve">スイッチ</t>
  </si>
  <si>
    <t xml:space="preserve">HP0150K011#01-3</t>
  </si>
  <si>
    <t xml:space="preserve">K0023201-01</t>
  </si>
  <si>
    <t xml:space="preserve">144609028/0-30317B-1</t>
  </si>
  <si>
    <t xml:space="preserve">YJ00009307-000</t>
  </si>
  <si>
    <t xml:space="preserve">YA00009265-004</t>
  </si>
  <si>
    <t xml:space="preserve">YN11E01277P1-002</t>
  </si>
  <si>
    <t xml:space="preserve">YY13E01663P3-001</t>
  </si>
  <si>
    <t xml:space="preserve">K0023271-00</t>
  </si>
  <si>
    <t xml:space="preserve">1540674194//06</t>
  </si>
  <si>
    <t xml:space="preserve">3319449490-001</t>
  </si>
  <si>
    <t xml:space="preserve">K0022371-00</t>
  </si>
  <si>
    <t xml:space="preserve">ULM270-5202Z0-1</t>
  </si>
  <si>
    <t xml:space="preserve">押ボタンスイッチ配線</t>
  </si>
  <si>
    <t xml:space="preserve">1950678422//01</t>
  </si>
  <si>
    <t xml:space="preserve">1540674124//08</t>
  </si>
  <si>
    <t xml:space="preserve">1950672980//01</t>
  </si>
  <si>
    <t xml:space="preserve">1000440889-1</t>
  </si>
  <si>
    <t xml:space="preserve">1000161669-2</t>
  </si>
  <si>
    <t xml:space="preserve">YY13E01680P1-001</t>
  </si>
  <si>
    <t xml:space="preserve">YD00009119-001</t>
  </si>
  <si>
    <t xml:space="preserve">05686-00578-00</t>
  </si>
  <si>
    <t xml:space="preserve">HCL584F021-D1</t>
  </si>
  <si>
    <t xml:space="preserve">LV15E01110P2-002</t>
  </si>
  <si>
    <t xml:space="preserve">YA00072469-004</t>
  </si>
  <si>
    <t xml:space="preserve">20S-C33186#03-6</t>
  </si>
  <si>
    <t xml:space="preserve">131009053/1-30520A</t>
  </si>
  <si>
    <t xml:space="preserve">17M0643211//03</t>
  </si>
  <si>
    <t xml:space="preserve">3319450210-000</t>
  </si>
  <si>
    <t xml:space="preserve">P-EB35-1695#01-4</t>
  </si>
  <si>
    <t xml:space="preserve">3119543-002</t>
  </si>
  <si>
    <t xml:space="preserve">YA00058833-001</t>
  </si>
  <si>
    <t xml:space="preserve">LC16E01093P1-001</t>
  </si>
  <si>
    <t xml:space="preserve">YM13E01055P1-001</t>
  </si>
  <si>
    <t xml:space="preserve">E43552-01310</t>
  </si>
  <si>
    <t xml:space="preserve">3BA5771860//00</t>
  </si>
  <si>
    <t xml:space="preserve">YA00029864-010</t>
  </si>
  <si>
    <t xml:space="preserve">144809035/0-10730A</t>
  </si>
  <si>
    <t xml:space="preserve">4269263655//00</t>
  </si>
  <si>
    <t xml:space="preserve">4728511-002</t>
  </si>
  <si>
    <t xml:space="preserve">LE13E01006P1-002.</t>
  </si>
  <si>
    <t xml:space="preserve">23A0671110//00</t>
  </si>
  <si>
    <t xml:space="preserve">3319439000-000</t>
  </si>
  <si>
    <t xml:space="preserve">1000286460-2</t>
  </si>
  <si>
    <t xml:space="preserve">ﾊｰﾈｽ</t>
  </si>
  <si>
    <t xml:space="preserve">4250662220//02</t>
  </si>
  <si>
    <r>
      <rPr>
        <sz val="10"/>
        <rFont val="Arial"/>
        <family val="0"/>
        <charset val="1"/>
      </rPr>
      <t xml:space="preserve">WIRING</t>
    </r>
    <r>
      <rPr>
        <sz val="10"/>
        <rFont val="Noto Sans CJK SC"/>
        <family val="2"/>
      </rPr>
      <t xml:space="preserve">　ＨＡＲＮＥＳＳ</t>
    </r>
  </si>
  <si>
    <t xml:space="preserve">YA00048468-001</t>
  </si>
  <si>
    <t xml:space="preserve">1000177205-1</t>
  </si>
  <si>
    <t xml:space="preserve">LE13E01005P1-002.</t>
  </si>
  <si>
    <t xml:space="preserve">YF11E01086P1-003</t>
  </si>
  <si>
    <t xml:space="preserve">62M181-12120</t>
  </si>
  <si>
    <t xml:space="preserve">M33582-00814</t>
  </si>
  <si>
    <t xml:space="preserve">YY13E01681P1-001</t>
  </si>
  <si>
    <t xml:space="preserve">YA00108524-001</t>
  </si>
  <si>
    <t xml:space="preserve">YY11E01399P1-003</t>
  </si>
  <si>
    <t xml:space="preserve">491657000/0-429440A</t>
  </si>
  <si>
    <r>
      <rPr>
        <sz val="10"/>
        <rFont val="Arial"/>
        <family val="0"/>
        <charset val="1"/>
      </rPr>
      <t xml:space="preserve">TERMINAL(VTE</t>
    </r>
    <r>
      <rPr>
        <sz val="10"/>
        <rFont val="Noto Sans CJK SC"/>
        <family val="2"/>
      </rPr>
      <t xml:space="preserve">）</t>
    </r>
  </si>
  <si>
    <t xml:space="preserve">HP0150K041#01-6</t>
  </si>
  <si>
    <t xml:space="preserve">YA00036477-001</t>
  </si>
  <si>
    <t xml:space="preserve">17M0649730//03</t>
  </si>
  <si>
    <t xml:space="preserve">20Y0641770//00</t>
  </si>
  <si>
    <t xml:space="preserve">3319446520-002</t>
  </si>
  <si>
    <t xml:space="preserve">C33582-11700</t>
  </si>
  <si>
    <t xml:space="preserve">3319049080-000</t>
  </si>
  <si>
    <t xml:space="preserve">YF11E01047P1-001</t>
  </si>
  <si>
    <t xml:space="preserve">LV15E01118P3-001</t>
  </si>
  <si>
    <t xml:space="preserve">1000159660-2</t>
  </si>
  <si>
    <t xml:space="preserve">1950661450//00</t>
  </si>
  <si>
    <t xml:space="preserve">21T0642980//01</t>
  </si>
  <si>
    <t xml:space="preserve">4662700-001</t>
  </si>
  <si>
    <t xml:space="preserve">4714758-001</t>
  </si>
  <si>
    <t xml:space="preserve">コルゲート</t>
  </si>
  <si>
    <t xml:space="preserve">TNA504A023</t>
  </si>
  <si>
    <t xml:space="preserve">KHR52530-00</t>
  </si>
  <si>
    <t xml:space="preserve">YA00055692-001</t>
  </si>
  <si>
    <t xml:space="preserve">G36315B6130</t>
  </si>
  <si>
    <t xml:space="preserve">G012-166000//02</t>
  </si>
  <si>
    <r>
      <rPr>
        <sz val="10"/>
        <rFont val="Arial"/>
        <family val="0"/>
        <charset val="1"/>
      </rPr>
      <t xml:space="preserve">GZ</t>
    </r>
    <r>
      <rPr>
        <sz val="10"/>
        <rFont val="Noto Sans CJK SC"/>
        <family val="2"/>
      </rPr>
      <t xml:space="preserve">エンジンアース</t>
    </r>
  </si>
  <si>
    <t xml:space="preserve">YA00002248-001</t>
  </si>
  <si>
    <t xml:space="preserve">1000159308-4</t>
  </si>
  <si>
    <t xml:space="preserve">2059250-002</t>
  </si>
  <si>
    <t xml:space="preserve">YA00050648-002</t>
  </si>
  <si>
    <t xml:space="preserve">HCL584F103-B</t>
  </si>
  <si>
    <t xml:space="preserve">4662696-000</t>
  </si>
  <si>
    <t xml:space="preserve">425068321B//01</t>
  </si>
  <si>
    <t xml:space="preserve">YT11E01114P1-001</t>
  </si>
  <si>
    <t xml:space="preserve">622-8421HE00</t>
  </si>
  <si>
    <t xml:space="preserve">TNA504A010-02</t>
  </si>
  <si>
    <t xml:space="preserve">3561720040-000</t>
  </si>
  <si>
    <t xml:space="preserve">SPRING GAS</t>
  </si>
  <si>
    <t xml:space="preserve">YA00062386-000</t>
  </si>
  <si>
    <t xml:space="preserve">290S2-42033</t>
  </si>
  <si>
    <t xml:space="preserve">17M0641641//01</t>
  </si>
  <si>
    <t xml:space="preserve">9L10E02206P1-1</t>
  </si>
  <si>
    <t xml:space="preserve">2A70682891//01</t>
  </si>
  <si>
    <t xml:space="preserve">YN11E01270P1-001</t>
  </si>
  <si>
    <t xml:space="preserve">M-P61T0010-099</t>
  </si>
  <si>
    <t xml:space="preserve">費用処理</t>
  </si>
  <si>
    <t xml:space="preserve">1000420498-3</t>
  </si>
  <si>
    <t xml:space="preserve">1540674370//01</t>
  </si>
  <si>
    <t xml:space="preserve">1000159386-3</t>
  </si>
  <si>
    <t xml:space="preserve">2070675151//01</t>
  </si>
  <si>
    <t xml:space="preserve">37A2FN6621//01</t>
  </si>
  <si>
    <t xml:space="preserve">9G10E01906P1-2</t>
  </si>
  <si>
    <t xml:space="preserve">629-9474HE00</t>
  </si>
  <si>
    <t xml:space="preserve">1000090103-3</t>
  </si>
  <si>
    <t xml:space="preserve">579-3007HE00</t>
  </si>
  <si>
    <t xml:space="preserve">31C-76105-0A0</t>
  </si>
  <si>
    <t xml:space="preserve">YD00016621-003</t>
  </si>
  <si>
    <t xml:space="preserve">YN16E01054P1-001</t>
  </si>
  <si>
    <t xml:space="preserve">58L36-M2141</t>
  </si>
  <si>
    <r>
      <rPr>
        <sz val="10"/>
        <rFont val="Noto Sans CJK SC"/>
        <family val="2"/>
      </rPr>
      <t xml:space="preserve">ＷＩＲＥ　ＨＡＲＮＥＳＳ  </t>
    </r>
    <r>
      <rPr>
        <sz val="10"/>
        <rFont val="Arial"/>
        <family val="0"/>
        <charset val="1"/>
      </rPr>
      <t xml:space="preserve">CAMERA</t>
    </r>
  </si>
  <si>
    <t xml:space="preserve">KSR21740-00</t>
  </si>
  <si>
    <t xml:space="preserve">3116041-002</t>
  </si>
  <si>
    <t xml:space="preserve">YA00064314-003</t>
  </si>
  <si>
    <t xml:space="preserve">8D10E01637P1-2</t>
  </si>
  <si>
    <t xml:space="preserve">YA00072922-000</t>
  </si>
  <si>
    <t xml:space="preserve">617-3599HE00</t>
  </si>
  <si>
    <t xml:space="preserve">YA00031815-003</t>
  </si>
  <si>
    <t xml:space="preserve">05642-00725-00</t>
  </si>
  <si>
    <t xml:space="preserve">YY54E01031P1-001</t>
  </si>
  <si>
    <t xml:space="preserve">06842-00289-03</t>
  </si>
  <si>
    <t xml:space="preserve">LM315GC7303A0-1</t>
  </si>
  <si>
    <t xml:space="preserve">ﾗｲﾄﾊｰﾈｽ</t>
  </si>
  <si>
    <t xml:space="preserve">YL00024587-002</t>
  </si>
  <si>
    <t xml:space="preserve">YA00036196-001</t>
  </si>
  <si>
    <t xml:space="preserve">389954150/2-32118C</t>
  </si>
  <si>
    <t xml:space="preserve">633-2165HE00</t>
  </si>
  <si>
    <t xml:space="preserve">23C0665110//00</t>
  </si>
  <si>
    <t xml:space="preserve">06842-00372-00</t>
  </si>
  <si>
    <t xml:space="preserve">HCL584F036-A</t>
  </si>
  <si>
    <t xml:space="preserve">21T0635930//00</t>
  </si>
  <si>
    <t xml:space="preserve">06842-00373-00</t>
  </si>
  <si>
    <t xml:space="preserve">HCL584F005-C</t>
  </si>
  <si>
    <t xml:space="preserve">ULM271-5111Z0-KAI2</t>
  </si>
  <si>
    <t xml:space="preserve">双方向無線機ＣＯＭＰケーブルハーネス</t>
  </si>
  <si>
    <t xml:space="preserve">田中電機㈱</t>
  </si>
  <si>
    <t xml:space="preserve">2A50683773//01</t>
  </si>
  <si>
    <t xml:space="preserve">163409194/0-117370</t>
  </si>
  <si>
    <t xml:space="preserve">KHR80910-00</t>
  </si>
  <si>
    <t xml:space="preserve">1000090207-3</t>
  </si>
  <si>
    <t xml:space="preserve">YA00048240-002</t>
  </si>
  <si>
    <t xml:space="preserve">144609062/0-30834A-1</t>
  </si>
  <si>
    <t xml:space="preserve">491921000/1-13208A</t>
  </si>
  <si>
    <t xml:space="preserve">621-5124HE00</t>
  </si>
  <si>
    <t xml:space="preserve">P-EB35-1800#01-1</t>
  </si>
  <si>
    <t xml:space="preserve">YA00070166-000</t>
  </si>
  <si>
    <t xml:space="preserve">4681835-003</t>
  </si>
  <si>
    <t xml:space="preserve">KBR20090-01</t>
  </si>
  <si>
    <t xml:space="preserve">K0021827-01</t>
  </si>
  <si>
    <t xml:space="preserve">144909019/0-104940</t>
  </si>
  <si>
    <t xml:space="preserve">YV22E01002P1-001</t>
  </si>
  <si>
    <t xml:space="preserve">ラベル</t>
  </si>
  <si>
    <t xml:space="preserve">198Z116870//00</t>
  </si>
  <si>
    <t xml:space="preserve">01E-77601042-02</t>
  </si>
  <si>
    <t xml:space="preserve">YA00008961-002</t>
  </si>
  <si>
    <t xml:space="preserve">LS14E01083P1-001</t>
  </si>
  <si>
    <t xml:space="preserve">163409078/0-31116A-1</t>
  </si>
  <si>
    <t xml:space="preserve">5R041-91111-0</t>
  </si>
  <si>
    <t xml:space="preserve">TNA504A028</t>
  </si>
  <si>
    <t xml:space="preserve">389954163/0-32141A</t>
  </si>
  <si>
    <t xml:space="preserve">2052718-013</t>
  </si>
  <si>
    <t xml:space="preserve">HCL584F124-H3</t>
  </si>
  <si>
    <t xml:space="preserve">P-EB35-1457#01-2</t>
  </si>
  <si>
    <t xml:space="preserve">3121262-001</t>
  </si>
  <si>
    <t xml:space="preserve">K3720000210</t>
  </si>
  <si>
    <t xml:space="preserve">2056810-004</t>
  </si>
  <si>
    <t xml:space="preserve">YY13E01666P1-001</t>
  </si>
  <si>
    <t xml:space="preserve">YA00077786-001</t>
  </si>
  <si>
    <t xml:space="preserve">3319439810-000</t>
  </si>
  <si>
    <t xml:space="preserve">LP16E01028P3-002</t>
  </si>
  <si>
    <t xml:space="preserve">神戸鈑金工業㈱</t>
  </si>
  <si>
    <t xml:space="preserve">456037684C</t>
  </si>
  <si>
    <t xml:space="preserve">㈱モリタエコノス</t>
  </si>
  <si>
    <t xml:space="preserve">HCL584F058</t>
  </si>
  <si>
    <t xml:space="preserve">LS13E01675P1-001</t>
  </si>
  <si>
    <t xml:space="preserve">YA00083280-001</t>
  </si>
  <si>
    <t xml:space="preserve">YF11E01098P1-001</t>
  </si>
  <si>
    <t xml:space="preserve">37A2FN5641//01</t>
  </si>
  <si>
    <t xml:space="preserve">YY11E01398P1-002</t>
  </si>
  <si>
    <t xml:space="preserve">HCL584F101C-C</t>
  </si>
  <si>
    <t xml:space="preserve">1036979-008</t>
  </si>
  <si>
    <t xml:space="preserve">471-9412HE00</t>
  </si>
  <si>
    <t xml:space="preserve">YA00004522-002</t>
  </si>
  <si>
    <t xml:space="preserve">17M0641560//01</t>
  </si>
  <si>
    <t xml:space="preserve">37A2GN5041//00</t>
  </si>
  <si>
    <t xml:space="preserve">LC16E01100P1-001</t>
  </si>
  <si>
    <t xml:space="preserve">KAR17430-01</t>
  </si>
  <si>
    <t xml:space="preserve">1000158418-2</t>
  </si>
  <si>
    <t xml:space="preserve">17M0643821//02</t>
  </si>
  <si>
    <t xml:space="preserve">HCL584F087A-C</t>
  </si>
  <si>
    <t xml:space="preserve">LQ53E01002P1-002</t>
  </si>
  <si>
    <t xml:space="preserve">HCL584F101B-C</t>
  </si>
  <si>
    <t xml:space="preserve">TJK504A087-01</t>
  </si>
  <si>
    <t xml:space="preserve">TNA504A010A-02</t>
  </si>
  <si>
    <t xml:space="preserve">3319436220-001</t>
  </si>
  <si>
    <t xml:space="preserve">144609027/0-30316A</t>
  </si>
  <si>
    <t xml:space="preserve">LS13E01459P2-001</t>
  </si>
  <si>
    <t xml:space="preserve">17M0641981//00.</t>
  </si>
  <si>
    <t xml:space="preserve">623-3538HE00</t>
  </si>
  <si>
    <t xml:space="preserve">4260632133//01</t>
  </si>
  <si>
    <t xml:space="preserve">YY11E01397P1-001</t>
  </si>
  <si>
    <t xml:space="preserve">YA00017767-000</t>
  </si>
  <si>
    <t xml:space="preserve">03981-00199-01</t>
  </si>
  <si>
    <t xml:space="preserve">17A0661220//00</t>
  </si>
  <si>
    <t xml:space="preserve">1413709352-001</t>
  </si>
  <si>
    <t xml:space="preserve">YN11E01563P1-001</t>
  </si>
  <si>
    <t xml:space="preserve">YA00075051-000</t>
  </si>
  <si>
    <t xml:space="preserve">HCL584F033-B2</t>
  </si>
  <si>
    <t xml:space="preserve">3108177-002</t>
  </si>
  <si>
    <t xml:space="preserve">KHR39521-00</t>
  </si>
  <si>
    <t xml:space="preserve">4728523-000</t>
  </si>
  <si>
    <t xml:space="preserve">42C0613621//01</t>
  </si>
  <si>
    <t xml:space="preserve">491654000/0-92941B</t>
  </si>
  <si>
    <r>
      <rPr>
        <sz val="10"/>
        <rFont val="Arial"/>
        <family val="0"/>
        <charset val="1"/>
      </rPr>
      <t xml:space="preserve">FUSEHOLDER</t>
    </r>
    <r>
      <rPr>
        <sz val="10"/>
        <rFont val="Noto Sans CJK SC"/>
        <family val="2"/>
      </rPr>
      <t xml:space="preserve">（</t>
    </r>
    <r>
      <rPr>
        <sz val="10"/>
        <rFont val="Arial"/>
        <family val="0"/>
        <charset val="1"/>
      </rPr>
      <t xml:space="preserve">BUSSMANN</t>
    </r>
    <r>
      <rPr>
        <sz val="10"/>
        <rFont val="Noto Sans CJK SC"/>
        <family val="2"/>
      </rPr>
      <t xml:space="preserve">）</t>
    </r>
  </si>
  <si>
    <t xml:space="preserve">YJ00008378-000</t>
  </si>
  <si>
    <t xml:space="preserve">1000267854-2</t>
  </si>
  <si>
    <t xml:space="preserve">592-7041HE00</t>
  </si>
  <si>
    <t xml:space="preserve">YL00024589-000</t>
  </si>
  <si>
    <t xml:space="preserve">YN24E00046F1-003</t>
  </si>
  <si>
    <t xml:space="preserve">ﾀｰﾐﾅﾙﾎﾞｯｸｽｱｯｾﾝ　</t>
  </si>
  <si>
    <t xml:space="preserve">YF15E01026P1-001</t>
  </si>
  <si>
    <t xml:space="preserve">LQ11E01110P3-001</t>
  </si>
  <si>
    <t xml:space="preserve">GH13E01019P2-001</t>
  </si>
  <si>
    <t xml:space="preserve">KHR39212-00</t>
  </si>
  <si>
    <t xml:space="preserve">KHP33880-00</t>
  </si>
  <si>
    <t xml:space="preserve">YA00016526-001</t>
  </si>
  <si>
    <t xml:space="preserve">HCL584F002-D</t>
  </si>
  <si>
    <t xml:space="preserve">3BA5772511//00</t>
  </si>
  <si>
    <t xml:space="preserve">ULM272-5404Z0</t>
  </si>
  <si>
    <t xml:space="preserve">LV15E01122P2-002</t>
  </si>
  <si>
    <t xml:space="preserve">1950678431//01</t>
  </si>
  <si>
    <t xml:space="preserve">YA00097411-001</t>
  </si>
  <si>
    <t xml:space="preserve">9E10E01895P1-2</t>
  </si>
  <si>
    <t xml:space="preserve">YN11E01610P1-002</t>
  </si>
  <si>
    <t xml:space="preserve">LC13E01605P1-001</t>
  </si>
  <si>
    <t xml:space="preserve">YA00097802-000</t>
  </si>
  <si>
    <t xml:space="preserve">K0022977-00</t>
  </si>
  <si>
    <t xml:space="preserve">K3611000600</t>
  </si>
  <si>
    <t xml:space="preserve">バッテリーアースコード７００</t>
  </si>
  <si>
    <t xml:space="preserve">YA00054259-002</t>
  </si>
  <si>
    <t xml:space="preserve">YA00070245-001</t>
  </si>
  <si>
    <t xml:space="preserve">1950655731//02</t>
  </si>
  <si>
    <t xml:space="preserve">HCL584F097-B1</t>
  </si>
  <si>
    <t xml:space="preserve">TNA504A026</t>
  </si>
  <si>
    <t xml:space="preserve">YA00030465-004</t>
  </si>
  <si>
    <t xml:space="preserve">YL00024814-000</t>
  </si>
  <si>
    <t xml:space="preserve">YA00068872-001</t>
  </si>
  <si>
    <t xml:space="preserve">51E-78401000-00</t>
  </si>
  <si>
    <t xml:space="preserve">263G244321-000</t>
  </si>
  <si>
    <t xml:space="preserve">CLIP CONNECTOR</t>
  </si>
  <si>
    <t xml:space="preserve">21T0658470//01</t>
  </si>
  <si>
    <t xml:space="preserve">9F10E01903P1-2</t>
  </si>
  <si>
    <t xml:space="preserve">YF11E01083P3-001</t>
  </si>
  <si>
    <t xml:space="preserve">9K10E02091D0#12-4</t>
  </si>
  <si>
    <t xml:space="preserve">KHR65870-00</t>
  </si>
  <si>
    <t xml:space="preserve">4653698-000</t>
  </si>
  <si>
    <t xml:space="preserve">YA00036090-001</t>
  </si>
  <si>
    <t xml:space="preserve">HCL584F101D-C</t>
  </si>
  <si>
    <t xml:space="preserve">HCL584F054-C1</t>
  </si>
  <si>
    <t xml:space="preserve">BP-003C</t>
  </si>
  <si>
    <t xml:space="preserve">COVER(6911-5862)</t>
  </si>
  <si>
    <t xml:space="preserve">K0018872-02</t>
  </si>
  <si>
    <r>
      <rPr>
        <sz val="10"/>
        <rFont val="Arial"/>
        <family val="0"/>
        <charset val="1"/>
      </rPr>
      <t xml:space="preserve">HARNESS SY68</t>
    </r>
    <r>
      <rPr>
        <sz val="10"/>
        <rFont val="Noto Sans CJK SC"/>
        <family val="2"/>
      </rPr>
      <t xml:space="preserve">用</t>
    </r>
  </si>
  <si>
    <t xml:space="preserve">K0023274-02</t>
  </si>
  <si>
    <t xml:space="preserve">263G2-43061A</t>
  </si>
  <si>
    <t xml:space="preserve">LV15E01120P2-002</t>
  </si>
  <si>
    <t xml:space="preserve">YA00063645-001</t>
  </si>
  <si>
    <t xml:space="preserve">1950656930//01</t>
  </si>
  <si>
    <t xml:space="preserve">LC13E01737P1-002</t>
  </si>
  <si>
    <t xml:space="preserve">14X0631283//04</t>
  </si>
  <si>
    <t xml:space="preserve">3319448510-000</t>
  </si>
  <si>
    <t xml:space="preserve">17M0649130//03</t>
  </si>
  <si>
    <t xml:space="preserve">HCL584F119A-C</t>
  </si>
  <si>
    <t xml:space="preserve">290S2-42017</t>
  </si>
  <si>
    <t xml:space="preserve">58J36-M3331</t>
  </si>
  <si>
    <t xml:space="preserve">1000158340-1</t>
  </si>
  <si>
    <t xml:space="preserve">HCL584F101G-C</t>
  </si>
  <si>
    <t xml:space="preserve">9E10E01445P1-2</t>
  </si>
  <si>
    <t xml:space="preserve">LV15E01125P2-002</t>
  </si>
  <si>
    <t xml:space="preserve">2090641150//00</t>
  </si>
  <si>
    <t xml:space="preserve">K0022974-02</t>
  </si>
  <si>
    <t xml:space="preserve">YJ00008267-000</t>
  </si>
  <si>
    <t xml:space="preserve">05660-00727-01</t>
  </si>
  <si>
    <t xml:space="preserve">HCL584F088C-D2</t>
  </si>
  <si>
    <t xml:space="preserve">1000348916-2</t>
  </si>
  <si>
    <t xml:space="preserve">HCL584F101F-C</t>
  </si>
  <si>
    <t xml:space="preserve">17M0643270//02</t>
  </si>
  <si>
    <t xml:space="preserve">HCL584F101A-C</t>
  </si>
  <si>
    <t xml:space="preserve">HCL584F088F-D2</t>
  </si>
  <si>
    <t xml:space="preserve">YA00030175-000</t>
  </si>
  <si>
    <t xml:space="preserve">K0022136-01</t>
  </si>
  <si>
    <t xml:space="preserve">HCL584F088H-D2</t>
  </si>
  <si>
    <t xml:space="preserve">130109090/0-108770</t>
  </si>
  <si>
    <t xml:space="preserve">LC13E01177P1-001</t>
  </si>
  <si>
    <t xml:space="preserve">ｹｰﾌﾞﾙ</t>
  </si>
  <si>
    <t xml:space="preserve">9M10E02210P1-1</t>
  </si>
  <si>
    <t xml:space="preserve">TNA504A025-A1</t>
  </si>
  <si>
    <t xml:space="preserve">20Y5452340//01</t>
  </si>
  <si>
    <t xml:space="preserve">HCL584F101-C</t>
  </si>
  <si>
    <t xml:space="preserve">HCL584F088D-D2</t>
  </si>
  <si>
    <t xml:space="preserve">23C0665250//02</t>
  </si>
  <si>
    <t xml:space="preserve">P-EB35-1824#01-1</t>
  </si>
  <si>
    <t xml:space="preserve">LQ11E01138P1-001</t>
  </si>
  <si>
    <t xml:space="preserve">LQ13E01528P1-001</t>
  </si>
  <si>
    <t xml:space="preserve">141809662/0-347590</t>
  </si>
  <si>
    <t xml:space="preserve">YL00003455-004</t>
  </si>
  <si>
    <t xml:space="preserve">1000099178-1</t>
  </si>
  <si>
    <t xml:space="preserve">YA00098918-000</t>
  </si>
  <si>
    <t xml:space="preserve">62F111-51110B</t>
  </si>
  <si>
    <t xml:space="preserve">YN11E01761P1-001</t>
  </si>
  <si>
    <t xml:space="preserve">YA00042958-000</t>
  </si>
  <si>
    <t xml:space="preserve">3319438480-000</t>
  </si>
  <si>
    <t xml:space="preserve">263F2-42001D</t>
  </si>
  <si>
    <t xml:space="preserve">131009165/0-209620</t>
  </si>
  <si>
    <t xml:space="preserve">LS13E01656P1-002</t>
  </si>
  <si>
    <t xml:space="preserve">1000158384-1</t>
  </si>
  <si>
    <t xml:space="preserve">YA00007381-000</t>
  </si>
  <si>
    <t xml:space="preserve">P-EB35-1408#02-4</t>
  </si>
  <si>
    <t xml:space="preserve">7861921340//00</t>
  </si>
  <si>
    <t xml:space="preserve">ブリヂストンケービージー㈱</t>
  </si>
  <si>
    <t xml:space="preserve">KHR62210-01</t>
  </si>
  <si>
    <t xml:space="preserve">1000159367-3</t>
  </si>
  <si>
    <t xml:space="preserve">615-9277HE01</t>
  </si>
  <si>
    <t xml:space="preserve">HP0150K042#01-10</t>
  </si>
  <si>
    <t xml:space="preserve">TNA504A002-B3</t>
  </si>
  <si>
    <t xml:space="preserve">1950661440//01</t>
  </si>
  <si>
    <t xml:space="preserve">YA00066937-000</t>
  </si>
  <si>
    <t xml:space="preserve">21T0635950//00</t>
  </si>
  <si>
    <t xml:space="preserve">YF11E01082P3-001</t>
  </si>
  <si>
    <t xml:space="preserve">81E-78201000-00</t>
  </si>
  <si>
    <t xml:space="preserve">K0022975-01</t>
  </si>
  <si>
    <t xml:space="preserve">YM13E01043P1-001</t>
  </si>
  <si>
    <t xml:space="preserve">591K7-62733A</t>
  </si>
  <si>
    <t xml:space="preserve">2052447-012</t>
  </si>
  <si>
    <t xml:space="preserve">YY11E01284P1-001</t>
  </si>
  <si>
    <t xml:space="preserve">YA00058863-000</t>
  </si>
  <si>
    <t xml:space="preserve">HCL584F099-C</t>
  </si>
  <si>
    <t xml:space="preserve">KHR57971-01</t>
  </si>
  <si>
    <t xml:space="preserve">YD00016695-002</t>
  </si>
  <si>
    <t xml:space="preserve">LC11E01132P3-001</t>
  </si>
  <si>
    <t xml:space="preserve">K0022226-00</t>
  </si>
  <si>
    <t xml:space="preserve">YA00050745-000</t>
  </si>
  <si>
    <t xml:space="preserve">144209001/0-30054A-1</t>
  </si>
  <si>
    <t xml:space="preserve">P-EB35-1617#01-3</t>
  </si>
  <si>
    <t xml:space="preserve">17M0643991//00</t>
  </si>
  <si>
    <t xml:space="preserve">P-EB35-1408#01-4</t>
  </si>
  <si>
    <t xml:space="preserve">LV15E01100P3-001</t>
  </si>
  <si>
    <t xml:space="preserve">163409121/1-21491B</t>
  </si>
  <si>
    <t xml:space="preserve">JG11E01239P2-001</t>
  </si>
  <si>
    <t xml:space="preserve">LQ16E01015P1-001</t>
  </si>
  <si>
    <t xml:space="preserve">21T0645180//00</t>
  </si>
  <si>
    <t xml:space="preserve">9K10E02119D0#11-2</t>
  </si>
  <si>
    <t xml:space="preserve">1000063363-4</t>
  </si>
  <si>
    <t xml:space="preserve">HCL584F034C-G2</t>
  </si>
  <si>
    <t xml:space="preserve">YA00015803-000</t>
  </si>
  <si>
    <t xml:space="preserve">1000265997-2</t>
  </si>
  <si>
    <t xml:space="preserve">K0021826-00</t>
  </si>
  <si>
    <t xml:space="preserve">1000265951-2</t>
  </si>
  <si>
    <t xml:space="preserve">YA00033154-001</t>
  </si>
  <si>
    <t xml:space="preserve">K0019976-01</t>
  </si>
  <si>
    <t xml:space="preserve">491660000/0-429470A</t>
  </si>
  <si>
    <r>
      <rPr>
        <sz val="10"/>
        <rFont val="Arial"/>
        <family val="0"/>
        <charset val="1"/>
      </rPr>
      <t xml:space="preserve">COVER(VTE</t>
    </r>
    <r>
      <rPr>
        <sz val="10"/>
        <rFont val="Noto Sans CJK SC"/>
        <family val="2"/>
      </rPr>
      <t xml:space="preserve">）</t>
    </r>
  </si>
  <si>
    <t xml:space="preserve">YA00062385-000</t>
  </si>
  <si>
    <t xml:space="preserve">YL00006167-004</t>
  </si>
  <si>
    <t xml:space="preserve">YJ00007873-001</t>
  </si>
  <si>
    <t xml:space="preserve">P-EB35-1555#01-3</t>
  </si>
  <si>
    <t xml:space="preserve">YB13E01073P1-001</t>
  </si>
  <si>
    <t xml:space="preserve">1950655743//02</t>
  </si>
  <si>
    <t xml:space="preserve">9K10E02202D0#01-1</t>
  </si>
  <si>
    <t xml:space="preserve">WIRE  HARNESS</t>
  </si>
  <si>
    <t xml:space="preserve">HCL584F034B-G2</t>
  </si>
  <si>
    <t xml:space="preserve">1000348880-2</t>
  </si>
  <si>
    <t xml:space="preserve">3319438430-001</t>
  </si>
  <si>
    <t xml:space="preserve">42CZ898761//00</t>
  </si>
  <si>
    <t xml:space="preserve">YT11E01125P2-001</t>
  </si>
  <si>
    <t xml:space="preserve">HCL584F054B-C1</t>
  </si>
  <si>
    <t xml:space="preserve">YA00080845-002</t>
  </si>
  <si>
    <t xml:space="preserve">K0022139-02</t>
  </si>
  <si>
    <t xml:space="preserve">K0018830-03</t>
  </si>
  <si>
    <t xml:space="preserve">HCL584F057B-G1</t>
  </si>
  <si>
    <t xml:space="preserve">K0022137-00</t>
  </si>
  <si>
    <t xml:space="preserve">HCL584F034D-G2</t>
  </si>
  <si>
    <t xml:space="preserve">2080661410//00</t>
  </si>
  <si>
    <t xml:space="preserve">P-EB35-894#04-4</t>
  </si>
  <si>
    <t xml:space="preserve">HCL584F124A-H3</t>
  </si>
  <si>
    <t xml:space="preserve">HCL584F003C-H3</t>
  </si>
  <si>
    <t xml:space="preserve">YA00060685-001</t>
  </si>
  <si>
    <t xml:space="preserve">YA00081069-000</t>
  </si>
  <si>
    <t xml:space="preserve">140609079/0-211360</t>
  </si>
  <si>
    <t xml:space="preserve">YX13E01062P3-001</t>
  </si>
  <si>
    <t xml:space="preserve">20Y0621421//00</t>
  </si>
  <si>
    <t xml:space="preserve">ADR33340-00</t>
  </si>
  <si>
    <t xml:space="preserve">585-4828HE02</t>
  </si>
  <si>
    <t xml:space="preserve">07042-00076-05</t>
  </si>
  <si>
    <t xml:space="preserve">17A0641261//01</t>
  </si>
  <si>
    <t xml:space="preserve">K0018822-02</t>
  </si>
  <si>
    <r>
      <rPr>
        <sz val="10"/>
        <rFont val="Arial"/>
        <family val="0"/>
        <charset val="1"/>
      </rPr>
      <t xml:space="preserve">WIRE HARNESS SY67</t>
    </r>
    <r>
      <rPr>
        <sz val="10"/>
        <rFont val="Noto Sans CJK SC"/>
        <family val="2"/>
      </rPr>
      <t xml:space="preserve">用</t>
    </r>
  </si>
  <si>
    <t xml:space="preserve">YA00045981-001</t>
  </si>
  <si>
    <t xml:space="preserve">K0018879-02</t>
  </si>
  <si>
    <t xml:space="preserve">HCL584F003D-H3</t>
  </si>
  <si>
    <t xml:space="preserve">1000346273-1</t>
  </si>
  <si>
    <t xml:space="preserve">HCL584F124C-H3</t>
  </si>
  <si>
    <t xml:space="preserve">198Z116320//00</t>
  </si>
  <si>
    <r>
      <rPr>
        <sz val="10"/>
        <rFont val="Noto Sans CJK SC"/>
        <family val="2"/>
      </rPr>
      <t xml:space="preserve">Ｄ</t>
    </r>
    <r>
      <rPr>
        <sz val="10"/>
        <rFont val="Arial"/>
        <family val="0"/>
        <charset val="1"/>
      </rPr>
      <t xml:space="preserve">475</t>
    </r>
    <r>
      <rPr>
        <sz val="10"/>
        <rFont val="Noto Sans CJK SC"/>
        <family val="2"/>
      </rPr>
      <t xml:space="preserve">　ＡＴＴﾊｰﾈｽ</t>
    </r>
  </si>
  <si>
    <t xml:space="preserve">1000423965-1</t>
  </si>
  <si>
    <t xml:space="preserve">YA00095811-000</t>
  </si>
  <si>
    <t xml:space="preserve">K0018871-02</t>
  </si>
  <si>
    <t xml:space="preserve">P-EB35-1822#01-1</t>
  </si>
  <si>
    <t xml:space="preserve">HCL584F034G-G2</t>
  </si>
  <si>
    <t xml:space="preserve">HCL584F034F-G2</t>
  </si>
  <si>
    <t xml:space="preserve">HCL584F057-G1</t>
  </si>
  <si>
    <t xml:space="preserve">131009006/0-301650</t>
  </si>
  <si>
    <t xml:space="preserve">LV15E01127P2-002</t>
  </si>
  <si>
    <t xml:space="preserve">KBR19831-00</t>
  </si>
  <si>
    <t xml:space="preserve">LQ11E01109P3-001</t>
  </si>
  <si>
    <t xml:space="preserve">HCL584F003B-H3</t>
  </si>
  <si>
    <t xml:space="preserve">HCL584F034A-G2</t>
  </si>
  <si>
    <t xml:space="preserve">ADR32821-01</t>
  </si>
  <si>
    <t xml:space="preserve">K0022644-00</t>
  </si>
  <si>
    <t xml:space="preserve">P-EB35-1365#02-3</t>
  </si>
  <si>
    <t xml:space="preserve">YN03E01001D4-004</t>
  </si>
  <si>
    <t xml:space="preserve">クリップ（茶色）</t>
  </si>
  <si>
    <t xml:space="preserve">P-EB35-1369#03-7</t>
  </si>
  <si>
    <t xml:space="preserve">3112059-001</t>
  </si>
  <si>
    <t xml:space="preserve">YF13E01167P1-001</t>
  </si>
  <si>
    <t xml:space="preserve">YB15E01017P1-001</t>
  </si>
  <si>
    <t xml:space="preserve">3470656004/0</t>
  </si>
  <si>
    <t xml:space="preserve">クリップ</t>
  </si>
  <si>
    <t xml:space="preserve">2FA-JM2-000</t>
  </si>
  <si>
    <t xml:space="preserve">部品一式</t>
  </si>
  <si>
    <t xml:space="preserve">56B843C610//01</t>
  </si>
  <si>
    <t xml:space="preserve">HEATER</t>
  </si>
  <si>
    <t xml:space="preserve">㈱内村</t>
  </si>
  <si>
    <t xml:space="preserve">K0018807-03</t>
  </si>
  <si>
    <t xml:space="preserve">1000267821-2</t>
  </si>
  <si>
    <t xml:space="preserve">LS11E01218P2-001</t>
  </si>
  <si>
    <t xml:space="preserve">3BA5771421//00</t>
  </si>
  <si>
    <t xml:space="preserve">A24A230900-0000</t>
  </si>
  <si>
    <t xml:space="preserve">21T0632340//00</t>
  </si>
  <si>
    <t xml:space="preserve">P-EB35-1369#02-7</t>
  </si>
  <si>
    <t xml:space="preserve">K0018825-02</t>
  </si>
  <si>
    <t xml:space="preserve">YA00012355-000</t>
  </si>
  <si>
    <t xml:space="preserve">KHR65300-00</t>
  </si>
  <si>
    <t xml:space="preserve">YA00090647-000</t>
  </si>
  <si>
    <t xml:space="preserve">3BA5571322//00</t>
  </si>
  <si>
    <t xml:space="preserve">21T0642281//00</t>
  </si>
  <si>
    <t xml:space="preserve">YA00087278-002</t>
  </si>
  <si>
    <t xml:space="preserve">HCL584F003A-H3</t>
  </si>
  <si>
    <t xml:space="preserve">22N5451280//01</t>
  </si>
  <si>
    <t xml:space="preserve">1540674282//05</t>
  </si>
  <si>
    <t xml:space="preserve">8R10E01017P1-3</t>
  </si>
  <si>
    <t xml:space="preserve">YA00111133-001</t>
  </si>
  <si>
    <t xml:space="preserve">P-EB35-1823#01-1</t>
  </si>
  <si>
    <t xml:space="preserve">3319438020-000</t>
  </si>
  <si>
    <t xml:space="preserve">4714641-000</t>
  </si>
  <si>
    <t xml:space="preserve">HCL584F121C-C</t>
  </si>
  <si>
    <t xml:space="preserve">HCL584F121B-C</t>
  </si>
  <si>
    <t xml:space="preserve">YA00073959-000</t>
  </si>
  <si>
    <t xml:space="preserve">KBR19820-01</t>
  </si>
  <si>
    <t xml:space="preserve">42C0613631//02</t>
  </si>
  <si>
    <t xml:space="preserve">HCL584F032-D1</t>
  </si>
  <si>
    <t xml:space="preserve">YA00015230-003</t>
  </si>
  <si>
    <t xml:space="preserve">K0021067-02</t>
  </si>
  <si>
    <t xml:space="preserve">YA00084341-001</t>
  </si>
  <si>
    <t xml:space="preserve">9K10E02089P1-1</t>
  </si>
  <si>
    <t xml:space="preserve">GG13E01241P1-001</t>
  </si>
  <si>
    <t xml:space="preserve">YA00106230-001</t>
  </si>
  <si>
    <t xml:space="preserve">05586-00716-01</t>
  </si>
  <si>
    <t xml:space="preserve">42C0613390//00</t>
  </si>
  <si>
    <t xml:space="preserve">17M0649181//04</t>
  </si>
  <si>
    <t xml:space="preserve">LS13E01517P1-002</t>
  </si>
  <si>
    <t xml:space="preserve">LC14E01082P3-001</t>
  </si>
  <si>
    <t xml:space="preserve">3319451390-001</t>
  </si>
  <si>
    <t xml:space="preserve">HCL584F001-F</t>
  </si>
  <si>
    <t xml:space="preserve">GG13E01236P1-001</t>
  </si>
  <si>
    <t xml:space="preserve">4346826-001</t>
  </si>
  <si>
    <t xml:space="preserve">YA00114315-000</t>
  </si>
  <si>
    <t xml:space="preserve">P-EB35-1552#01-4</t>
  </si>
  <si>
    <t xml:space="preserve">P-EB35-1368#02-5</t>
  </si>
  <si>
    <t xml:space="preserve">YA00058453-000</t>
  </si>
  <si>
    <t xml:space="preserve">144809033/1-20725A</t>
  </si>
  <si>
    <t xml:space="preserve">131009166/0-30963A</t>
  </si>
  <si>
    <t xml:space="preserve">LC11E01124P1-001</t>
  </si>
  <si>
    <t xml:space="preserve">3319454430-000</t>
  </si>
  <si>
    <t xml:space="preserve">K0022978-00</t>
  </si>
  <si>
    <t xml:space="preserve">LQ13E01450P1-001</t>
  </si>
  <si>
    <t xml:space="preserve">YN15E01129P1-001</t>
  </si>
  <si>
    <t xml:space="preserve">291K2-42041A</t>
  </si>
  <si>
    <t xml:space="preserve">1980663361//01-M</t>
  </si>
  <si>
    <t xml:space="preserve">YA00041687-000</t>
  </si>
  <si>
    <t xml:space="preserve">1950656981//02</t>
  </si>
  <si>
    <t xml:space="preserve">3UG-76112-000</t>
  </si>
  <si>
    <t xml:space="preserve">3107235-003</t>
  </si>
  <si>
    <t xml:space="preserve">491659000/0-429460A</t>
  </si>
  <si>
    <t xml:space="preserve">621-4804HE00</t>
  </si>
  <si>
    <t xml:space="preserve">YJ00008403-002</t>
  </si>
  <si>
    <t xml:space="preserve">TNA504A019</t>
  </si>
  <si>
    <t xml:space="preserve">TNA504A021</t>
  </si>
  <si>
    <t xml:space="preserve">TNA504A031-01</t>
  </si>
  <si>
    <t xml:space="preserve">3319440030-000</t>
  </si>
  <si>
    <t xml:space="preserve">9E10E01451P1-2</t>
  </si>
  <si>
    <t xml:space="preserve">1540674223//03</t>
  </si>
  <si>
    <t xml:space="preserve">YA00032546-001</t>
  </si>
  <si>
    <t xml:space="preserve">LC13E01652P1-001</t>
  </si>
  <si>
    <t xml:space="preserve">YA00004493-002</t>
  </si>
  <si>
    <t xml:space="preserve">3319447750-000</t>
  </si>
  <si>
    <t xml:space="preserve">3319452110-000</t>
  </si>
  <si>
    <t xml:space="preserve">K0022981-01</t>
  </si>
  <si>
    <t xml:space="preserve">YA00095809-001</t>
  </si>
  <si>
    <t xml:space="preserve">YA00099003-000</t>
  </si>
  <si>
    <t xml:space="preserve">144809005/0-30064B-1</t>
  </si>
  <si>
    <t xml:space="preserve">YY11E01405P1-001</t>
  </si>
  <si>
    <t xml:space="preserve">05660-00725-00</t>
  </si>
  <si>
    <t xml:space="preserve">141809034/0-40527A</t>
  </si>
  <si>
    <t xml:space="preserve">コネクタ</t>
  </si>
  <si>
    <t xml:space="preserve">130809023/0-30388A</t>
  </si>
  <si>
    <t xml:space="preserve">YY54E01032P2-001</t>
  </si>
  <si>
    <t xml:space="preserve">HCL584F055G-H3</t>
  </si>
  <si>
    <t xml:space="preserve">1000344597-1</t>
  </si>
  <si>
    <t xml:space="preserve">K0023272-00</t>
  </si>
  <si>
    <t xml:space="preserve">141809180/0-326610</t>
  </si>
  <si>
    <t xml:space="preserve">1950657511//01</t>
  </si>
  <si>
    <t xml:space="preserve">BBA504A297</t>
  </si>
  <si>
    <t xml:space="preserve">HCL584F055J-H3</t>
  </si>
  <si>
    <t xml:space="preserve">LP13E01072P1-001</t>
  </si>
  <si>
    <t xml:space="preserve">ULM270-5504A0</t>
  </si>
  <si>
    <t xml:space="preserve">ヒュージブルリンクハーネス</t>
  </si>
  <si>
    <t xml:space="preserve">HCL584F055L-H3</t>
  </si>
  <si>
    <t xml:space="preserve">P-EB35-1827#01-1</t>
  </si>
  <si>
    <t xml:space="preserve">62M1712121-000</t>
  </si>
  <si>
    <t xml:space="preserve">YB13E01045P1-001</t>
  </si>
  <si>
    <t xml:space="preserve">HCL584F055H-H3</t>
  </si>
  <si>
    <t xml:space="preserve">17M0641141//05</t>
  </si>
  <si>
    <t xml:space="preserve">23C0665470//00</t>
  </si>
  <si>
    <t xml:space="preserve">R24314689-02</t>
  </si>
  <si>
    <t xml:space="preserve">大和精工㈱</t>
  </si>
  <si>
    <t xml:space="preserve">LS15E01195P1-001</t>
  </si>
  <si>
    <t xml:space="preserve">HCL584F055-H3</t>
  </si>
  <si>
    <t xml:space="preserve">1980662771//01</t>
  </si>
  <si>
    <t xml:space="preserve">LC15E01180P1-003</t>
  </si>
  <si>
    <t xml:space="preserve">1000346339-1</t>
  </si>
  <si>
    <t xml:space="preserve">2070661250//00</t>
  </si>
  <si>
    <t xml:space="preserve">131009008/0-30167A</t>
  </si>
  <si>
    <t xml:space="preserve">KHR52310-00</t>
  </si>
  <si>
    <t xml:space="preserve">LV13E01385P1-002</t>
  </si>
  <si>
    <t xml:space="preserve">3319447210-001</t>
  </si>
  <si>
    <t xml:space="preserve">YA00087016-000</t>
  </si>
  <si>
    <t xml:space="preserve">YA00097741-001</t>
  </si>
  <si>
    <t xml:space="preserve">HCL584F055B-H3</t>
  </si>
  <si>
    <t xml:space="preserve">1000355426-1</t>
  </si>
  <si>
    <t xml:space="preserve">1980663530//00</t>
  </si>
  <si>
    <t xml:space="preserve">YA00059598-002</t>
  </si>
  <si>
    <t xml:space="preserve">YY11E01387P1-001</t>
  </si>
  <si>
    <t xml:space="preserve">HCL584F055K-H3</t>
  </si>
  <si>
    <t xml:space="preserve">YA00059069-002</t>
  </si>
  <si>
    <t xml:space="preserve">42C0613271//00</t>
  </si>
  <si>
    <t xml:space="preserve">LV13E01383P1-002</t>
  </si>
  <si>
    <t xml:space="preserve">YA00101574-000</t>
  </si>
  <si>
    <t xml:space="preserve">HCL584F120A-D1</t>
  </si>
  <si>
    <t xml:space="preserve">3BA5778311//00</t>
  </si>
  <si>
    <t xml:space="preserve">YA00058866-001</t>
  </si>
  <si>
    <t xml:space="preserve">YA00063291-003</t>
  </si>
  <si>
    <t xml:space="preserve">ADMN3K09Z1-0001</t>
  </si>
  <si>
    <t xml:space="preserve">HCL584F055A-H3</t>
  </si>
  <si>
    <t xml:space="preserve">21T0642271//01</t>
  </si>
  <si>
    <t xml:space="preserve">4260632254//01</t>
  </si>
  <si>
    <t xml:space="preserve">YA00053541-003</t>
  </si>
  <si>
    <t xml:space="preserve">62F1215111-003</t>
  </si>
  <si>
    <t xml:space="preserve">YN11E01445P1-001</t>
  </si>
  <si>
    <t xml:space="preserve">LC22E01001D1-001</t>
  </si>
  <si>
    <t xml:space="preserve">レジスター</t>
  </si>
  <si>
    <t xml:space="preserve">BRI-HCD2-003-20</t>
  </si>
  <si>
    <t xml:space="preserve">COVER CAMERA HITACHI</t>
  </si>
  <si>
    <t xml:space="preserve">P-EB35-1170#03-8</t>
  </si>
  <si>
    <t xml:space="preserve">P-EB35-1553#01-1</t>
  </si>
  <si>
    <t xml:space="preserve">3319447760-000</t>
  </si>
  <si>
    <t xml:space="preserve">1000284151-2</t>
  </si>
  <si>
    <t xml:space="preserve">P-EB35-996#03-7</t>
  </si>
  <si>
    <t xml:space="preserve">A81D1G0900-0000</t>
  </si>
  <si>
    <t xml:space="preserve">YA00063295-001</t>
  </si>
  <si>
    <t xml:space="preserve">1000346055-1</t>
  </si>
  <si>
    <t xml:space="preserve">YN11E01377P2-001</t>
  </si>
  <si>
    <t xml:space="preserve">LS13E01655P1-001</t>
  </si>
  <si>
    <t xml:space="preserve">P-EB35-1555#02-3</t>
  </si>
  <si>
    <t xml:space="preserve">1000284108-2</t>
  </si>
  <si>
    <t xml:space="preserve">2056172-006</t>
  </si>
  <si>
    <t xml:space="preserve">141809176/0-326570</t>
  </si>
  <si>
    <t xml:space="preserve">LS13E01654P1-001</t>
  </si>
  <si>
    <t xml:space="preserve">3319438240-002</t>
  </si>
  <si>
    <t xml:space="preserve">YN11E01301P1-001</t>
  </si>
  <si>
    <t xml:space="preserve">0004777-007</t>
  </si>
  <si>
    <t xml:space="preserve">1000179126-2</t>
  </si>
  <si>
    <t xml:space="preserve">4320612260//01</t>
  </si>
  <si>
    <t xml:space="preserve">0802875035//00</t>
  </si>
  <si>
    <t xml:space="preserve">P-EB35-912#01-7</t>
  </si>
  <si>
    <t xml:space="preserve">LS11E01145P2-001</t>
  </si>
  <si>
    <t xml:space="preserve">HCL584F062D-F1</t>
  </si>
  <si>
    <t xml:space="preserve">HCL584F062F-F1</t>
  </si>
  <si>
    <t xml:space="preserve">140609048/0-309280</t>
  </si>
  <si>
    <t xml:space="preserve">P-EB35-1554#01-3</t>
  </si>
  <si>
    <t xml:space="preserve">LS80E01042P1-002</t>
  </si>
  <si>
    <t xml:space="preserve">291K2-42052</t>
  </si>
  <si>
    <t xml:space="preserve">TNA504A017-A1</t>
  </si>
  <si>
    <t xml:space="preserve">TNA504A018-A1</t>
  </si>
  <si>
    <t xml:space="preserve">LM2710-0545Z0</t>
  </si>
  <si>
    <r>
      <rPr>
        <sz val="10"/>
        <rFont val="Noto Sans CJK SC"/>
        <family val="2"/>
      </rPr>
      <t xml:space="preserve">ヒューズ配線</t>
    </r>
    <r>
      <rPr>
        <sz val="10"/>
        <rFont val="Arial"/>
        <family val="0"/>
        <charset val="1"/>
      </rPr>
      <t xml:space="preserve">D</t>
    </r>
  </si>
  <si>
    <t xml:space="preserve">8T10E01379P1-1</t>
  </si>
  <si>
    <t xml:space="preserve">TNA504A020</t>
  </si>
  <si>
    <t xml:space="preserve">HCL584F059D-H3</t>
  </si>
  <si>
    <t xml:space="preserve">42CZ897851//01</t>
  </si>
  <si>
    <t xml:space="preserve">1950657741//01</t>
  </si>
  <si>
    <t xml:space="preserve">JD13E01327P1-001</t>
  </si>
  <si>
    <t xml:space="preserve">YY13E01419P1-001</t>
  </si>
  <si>
    <t xml:space="preserve">K0018828-00</t>
  </si>
  <si>
    <r>
      <rPr>
        <sz val="10"/>
        <rFont val="Arial"/>
        <family val="0"/>
        <charset val="1"/>
      </rPr>
      <t xml:space="preserve">HARNESS SY67</t>
    </r>
    <r>
      <rPr>
        <sz val="10"/>
        <rFont val="Noto Sans CJK SC"/>
        <family val="2"/>
      </rPr>
      <t xml:space="preserve">用</t>
    </r>
  </si>
  <si>
    <t xml:space="preserve">06842-00130-00</t>
  </si>
  <si>
    <t xml:space="preserve">29S02-47421A-1</t>
  </si>
  <si>
    <t xml:space="preserve">K0018823-04</t>
  </si>
  <si>
    <t xml:space="preserve">LM2710-0544Z0</t>
  </si>
  <si>
    <r>
      <rPr>
        <sz val="10"/>
        <rFont val="Noto Sans CJK SC"/>
        <family val="2"/>
      </rPr>
      <t xml:space="preserve">ヒューズ配線</t>
    </r>
    <r>
      <rPr>
        <sz val="10"/>
        <rFont val="Arial"/>
        <family val="0"/>
        <charset val="1"/>
      </rPr>
      <t xml:space="preserve">B</t>
    </r>
  </si>
  <si>
    <t xml:space="preserve">LS11E01187P3-002</t>
  </si>
  <si>
    <t xml:space="preserve">HCL584F062-F1</t>
  </si>
  <si>
    <t xml:space="preserve">HCL584F062A-F1</t>
  </si>
  <si>
    <t xml:space="preserve">1000077525-3</t>
  </si>
  <si>
    <t xml:space="preserve">4655770-000.</t>
  </si>
  <si>
    <t xml:space="preserve">YL00033763-000</t>
  </si>
  <si>
    <t xml:space="preserve">YY13E01682P1-001</t>
  </si>
  <si>
    <t xml:space="preserve">HCL584F059B-H3</t>
  </si>
  <si>
    <t xml:space="preserve">3BA5778112//00</t>
  </si>
  <si>
    <t xml:space="preserve">YA00101209-002</t>
  </si>
  <si>
    <t xml:space="preserve">KSR21780-00</t>
  </si>
  <si>
    <t xml:space="preserve">LS80E01043P1-002</t>
  </si>
  <si>
    <t xml:space="preserve">YJ00007953-003</t>
  </si>
  <si>
    <t xml:space="preserve">3988070240-001</t>
  </si>
  <si>
    <t xml:space="preserve">SLOW BLOW FUSE</t>
  </si>
  <si>
    <t xml:space="preserve">YA00085106-001</t>
  </si>
  <si>
    <t xml:space="preserve">3319446740-000</t>
  </si>
  <si>
    <t xml:space="preserve">3319439870-000</t>
  </si>
  <si>
    <t xml:space="preserve">4710590-000</t>
  </si>
  <si>
    <t xml:space="preserve">PULG</t>
  </si>
  <si>
    <t xml:space="preserve">YA00109958-000</t>
  </si>
  <si>
    <t xml:space="preserve">K0022976-00</t>
  </si>
  <si>
    <t xml:space="preserve">YA00086419-000</t>
  </si>
  <si>
    <t xml:space="preserve">389952147/0-321150</t>
  </si>
  <si>
    <t xml:space="preserve">4722653-000</t>
  </si>
  <si>
    <t xml:space="preserve">03961-00222-00</t>
  </si>
  <si>
    <t xml:space="preserve">LS11E01263P1-001</t>
  </si>
  <si>
    <t xml:space="preserve">K0021749-00</t>
  </si>
  <si>
    <t xml:space="preserve">21T0643982//02</t>
  </si>
  <si>
    <t xml:space="preserve">21T0632272//00.</t>
  </si>
  <si>
    <t xml:space="preserve">263E2-42002</t>
  </si>
  <si>
    <t xml:space="preserve">130109093/0-208850</t>
  </si>
  <si>
    <t xml:space="preserve">615-7150HE00</t>
  </si>
  <si>
    <t xml:space="preserve">YA00057130-002</t>
  </si>
  <si>
    <t xml:space="preserve">1000159262-3</t>
  </si>
  <si>
    <t xml:space="preserve">573-8736HE00</t>
  </si>
  <si>
    <t xml:space="preserve">LQ15E01107P1-002</t>
  </si>
  <si>
    <t xml:space="preserve">593-6743HE00</t>
  </si>
  <si>
    <t xml:space="preserve">KHR41130-00</t>
  </si>
  <si>
    <t xml:space="preserve">2058480-007</t>
  </si>
  <si>
    <t xml:space="preserve">1000063448-6</t>
  </si>
  <si>
    <t xml:space="preserve">P-EB36-597-2</t>
  </si>
  <si>
    <t xml:space="preserve">640-6904HE01</t>
  </si>
  <si>
    <t xml:space="preserve">TNA504A033-A1</t>
  </si>
  <si>
    <t xml:space="preserve">K0018512-02</t>
  </si>
  <si>
    <t xml:space="preserve">㈱タガミ・イーエクス</t>
  </si>
  <si>
    <t xml:space="preserve">YA00068143-000</t>
  </si>
  <si>
    <t xml:space="preserve">3319447460-000</t>
  </si>
  <si>
    <t xml:space="preserve">621-5121HE00</t>
  </si>
  <si>
    <t xml:space="preserve">21T0631321//00</t>
  </si>
  <si>
    <t xml:space="preserve">LS15E01193P2-001</t>
  </si>
  <si>
    <t xml:space="preserve">163409120/1-21490A</t>
  </si>
  <si>
    <t xml:space="preserve">TNA504A029</t>
  </si>
  <si>
    <t xml:space="preserve">YY13E01423P1-001</t>
  </si>
  <si>
    <t xml:space="preserve">YA00018715-000</t>
  </si>
  <si>
    <t xml:space="preserve">42CZ898751//00</t>
  </si>
  <si>
    <t xml:space="preserve">K0022135-00</t>
  </si>
  <si>
    <t xml:space="preserve">TNA504A004</t>
  </si>
  <si>
    <t xml:space="preserve">2056171-007</t>
  </si>
  <si>
    <t xml:space="preserve">P-EB35-1572#01-3</t>
  </si>
  <si>
    <t xml:space="preserve">579-4203HE00</t>
  </si>
  <si>
    <t xml:space="preserve">491961000/0-13248B</t>
  </si>
  <si>
    <t xml:space="preserve">LC13E01688P1-001</t>
  </si>
  <si>
    <t xml:space="preserve">3319450170-001</t>
  </si>
  <si>
    <t xml:space="preserve">3319446300-000</t>
  </si>
  <si>
    <t xml:space="preserve">YA00040877-000</t>
  </si>
  <si>
    <t xml:space="preserve">LQ13E01462P2-002</t>
  </si>
  <si>
    <t xml:space="preserve">YY13E01422P1-001</t>
  </si>
  <si>
    <t xml:space="preserve">XYN11E01786P1-001</t>
  </si>
  <si>
    <t xml:space="preserve">1980671331//04</t>
  </si>
  <si>
    <t xml:space="preserve">42C0614270//00</t>
  </si>
  <si>
    <t xml:space="preserve">LC13E01689P1-001</t>
  </si>
  <si>
    <t xml:space="preserve">9E10E01894P1-2</t>
  </si>
  <si>
    <t xml:space="preserve">ZT00000066-000</t>
  </si>
  <si>
    <t xml:space="preserve">33194-36140B</t>
  </si>
  <si>
    <t xml:space="preserve">LC13E01651P2-001</t>
  </si>
  <si>
    <t xml:space="preserve">3115047-000</t>
  </si>
  <si>
    <t xml:space="preserve">BBA504A298</t>
  </si>
  <si>
    <t xml:space="preserve">LS14E01073P2-001</t>
  </si>
  <si>
    <t xml:space="preserve">LV15E01107P1-001</t>
  </si>
  <si>
    <t xml:space="preserve">K0020310-00</t>
  </si>
  <si>
    <t xml:space="preserve">YA00028909-000</t>
  </si>
  <si>
    <t xml:space="preserve">TNA504A022</t>
  </si>
  <si>
    <t xml:space="preserve">YA00013176-004</t>
  </si>
  <si>
    <t xml:space="preserve">YL00022786-001</t>
  </si>
  <si>
    <t xml:space="preserve">144909021/0-204980</t>
  </si>
  <si>
    <t xml:space="preserve">3319448820-000</t>
  </si>
  <si>
    <t xml:space="preserve">SP05A--1102A0-1</t>
  </si>
  <si>
    <t xml:space="preserve">ライトハーネス</t>
  </si>
  <si>
    <t xml:space="preserve">YA00005847-001</t>
  </si>
  <si>
    <t xml:space="preserve">141809177/0-326580</t>
  </si>
  <si>
    <t xml:space="preserve">YF54E01018P1-001</t>
  </si>
  <si>
    <t xml:space="preserve">1000344632-1</t>
  </si>
  <si>
    <t xml:space="preserve">1000348958-1</t>
  </si>
  <si>
    <t xml:space="preserve">1000345861-1</t>
  </si>
  <si>
    <t xml:space="preserve">KHR69770-02</t>
  </si>
  <si>
    <t xml:space="preserve">XV00003949-000</t>
  </si>
  <si>
    <t xml:space="preserve">CORRUGATE</t>
  </si>
  <si>
    <t xml:space="preserve">LB11E01002P1-001</t>
  </si>
  <si>
    <t xml:space="preserve">LC11E01201P1-001</t>
  </si>
  <si>
    <t xml:space="preserve">1000267316-2</t>
  </si>
  <si>
    <t xml:space="preserve">3319452100-000</t>
  </si>
  <si>
    <t xml:space="preserve">YF13E01123P1-001</t>
  </si>
  <si>
    <t xml:space="preserve">9E10E01996P1-2</t>
  </si>
  <si>
    <t xml:space="preserve">YY13E01421P1-001</t>
  </si>
  <si>
    <t xml:space="preserve">K0022989-01</t>
  </si>
  <si>
    <t xml:space="preserve">21T0634971//00.</t>
  </si>
  <si>
    <t xml:space="preserve">623-3394HE00</t>
  </si>
  <si>
    <t xml:space="preserve">A81D1G1400-0000</t>
  </si>
  <si>
    <t xml:space="preserve">491615000/0-92902A</t>
  </si>
  <si>
    <t xml:space="preserve">酒井重工業（株）ﾌﾟﾛﾀﾞｸﾄｻﾎ</t>
  </si>
  <si>
    <t xml:space="preserve">23C0665120//00</t>
  </si>
  <si>
    <t xml:space="preserve">3120311-002</t>
  </si>
  <si>
    <t xml:space="preserve">21T0644710//00</t>
  </si>
  <si>
    <t xml:space="preserve">1000168244-2</t>
  </si>
  <si>
    <t xml:space="preserve">21N0631320//00</t>
  </si>
  <si>
    <t xml:space="preserve">1000284576-2</t>
  </si>
  <si>
    <t xml:space="preserve">3319446610-001</t>
  </si>
  <si>
    <t xml:space="preserve">YN11E01290P1-001</t>
  </si>
  <si>
    <t xml:space="preserve">LV15E01070P1-001</t>
  </si>
  <si>
    <t xml:space="preserve">JJ01E01045D1-003</t>
  </si>
  <si>
    <t xml:space="preserve">646-3074HE00</t>
  </si>
  <si>
    <t xml:space="preserve">YA00069947-004</t>
  </si>
  <si>
    <t xml:space="preserve">131009022/0-303200</t>
  </si>
  <si>
    <t xml:space="preserve">17M0643860//00</t>
  </si>
  <si>
    <t xml:space="preserve">HCL584F011C-F3</t>
  </si>
  <si>
    <t xml:space="preserve">YY13E01418P1-001</t>
  </si>
  <si>
    <t xml:space="preserve">1950654481//01</t>
  </si>
  <si>
    <t xml:space="preserve">1950654471//01</t>
  </si>
  <si>
    <t xml:space="preserve">YY11E01443P2-001</t>
  </si>
  <si>
    <t xml:space="preserve">62J984-11110</t>
  </si>
  <si>
    <t xml:space="preserve">1950678480//00</t>
  </si>
  <si>
    <t xml:space="preserve">YN13E02316P1-001</t>
  </si>
  <si>
    <t xml:space="preserve">CLIP</t>
  </si>
  <si>
    <t xml:space="preserve">1950655310//00</t>
  </si>
  <si>
    <t xml:space="preserve">17M0643111//01</t>
  </si>
  <si>
    <t xml:space="preserve">A24A230905-0000</t>
  </si>
  <si>
    <t xml:space="preserve">4387120730-002</t>
  </si>
  <si>
    <t xml:space="preserve">BOX;FUSE</t>
  </si>
  <si>
    <t xml:space="preserve">LN16E01004P3-001</t>
  </si>
  <si>
    <t xml:space="preserve">YA00101630-000</t>
  </si>
  <si>
    <t xml:space="preserve">YD00014133-001</t>
  </si>
  <si>
    <t xml:space="preserve">9J10E02250P1-1</t>
  </si>
  <si>
    <t xml:space="preserve">4710643-002</t>
  </si>
  <si>
    <t xml:space="preserve">1950673420//04</t>
  </si>
  <si>
    <t xml:space="preserve">ULM272-9002Z0</t>
  </si>
  <si>
    <t xml:space="preserve">燃料センダー交換用配線</t>
  </si>
  <si>
    <t xml:space="preserve">425068423B//01</t>
  </si>
  <si>
    <t xml:space="preserve">KHR53020-01</t>
  </si>
  <si>
    <t xml:space="preserve">GG13E01247P2-001</t>
  </si>
  <si>
    <t xml:space="preserve">HCL584F013A-C3</t>
  </si>
  <si>
    <t xml:space="preserve">HCL584F013-C3</t>
  </si>
  <si>
    <t xml:space="preserve">HCL584F013G-C3</t>
  </si>
  <si>
    <t xml:space="preserve">389954152/0-321230</t>
  </si>
  <si>
    <t xml:space="preserve">3319450730-000</t>
  </si>
  <si>
    <t xml:space="preserve">21T0633291//00</t>
  </si>
  <si>
    <t xml:space="preserve">YD00017163-000</t>
  </si>
  <si>
    <t xml:space="preserve">YA00108429-000</t>
  </si>
  <si>
    <t xml:space="preserve">P-EB35-1170#06-8</t>
  </si>
  <si>
    <t xml:space="preserve">YN16E01044P2-002</t>
  </si>
  <si>
    <t xml:space="preserve">8240061720//02</t>
  </si>
  <si>
    <t xml:space="preserve">1000345934-1</t>
  </si>
  <si>
    <t xml:space="preserve">LS13E01678P1-001</t>
  </si>
  <si>
    <t xml:space="preserve">3319438260-000</t>
  </si>
  <si>
    <t xml:space="preserve">YN11E01756P1-001</t>
  </si>
  <si>
    <t xml:space="preserve">YY13E01701P1-001</t>
  </si>
  <si>
    <t xml:space="preserve">YN15E01210P1-001</t>
  </si>
  <si>
    <t xml:space="preserve">1000360323-3</t>
  </si>
  <si>
    <t xml:space="preserve">3EB3641411//00</t>
  </si>
  <si>
    <t xml:space="preserve">コマツ栃木工場　補給部品</t>
  </si>
  <si>
    <t xml:space="preserve">YA00024161-003</t>
  </si>
  <si>
    <t xml:space="preserve">YY11E01479P1-001</t>
  </si>
  <si>
    <t xml:space="preserve">3BA5772110//01</t>
  </si>
  <si>
    <t xml:space="preserve">0819100770//00</t>
  </si>
  <si>
    <t xml:space="preserve">ＰＬＵＧ</t>
  </si>
  <si>
    <t xml:space="preserve">623-5562HE00</t>
  </si>
  <si>
    <t xml:space="preserve">140609069/0-310590</t>
  </si>
  <si>
    <t xml:space="preserve">P-EB35-1369#04-7</t>
  </si>
  <si>
    <t xml:space="preserve">3BA5772231//00</t>
  </si>
  <si>
    <t xml:space="preserve">YF15E01029P1-001</t>
  </si>
  <si>
    <t xml:space="preserve">1000339431-1</t>
  </si>
  <si>
    <t xml:space="preserve">103992176/0-401460</t>
  </si>
  <si>
    <t xml:space="preserve">D45150-03B</t>
  </si>
  <si>
    <t xml:space="preserve">三相電機㈱</t>
  </si>
  <si>
    <t xml:space="preserve">D45150-02B</t>
  </si>
  <si>
    <t xml:space="preserve">D45150-01B</t>
  </si>
  <si>
    <t xml:space="preserve">9K10E01961P1-2</t>
  </si>
  <si>
    <t xml:space="preserve">YJ00009193-001</t>
  </si>
  <si>
    <t xml:space="preserve">LC15E01145P1-001</t>
  </si>
  <si>
    <t xml:space="preserve">YA00054850-000</t>
  </si>
  <si>
    <t xml:space="preserve">9G10E02117P1-1</t>
  </si>
  <si>
    <t xml:space="preserve">142109056/0-20296A</t>
  </si>
  <si>
    <t xml:space="preserve">425068129A//01</t>
  </si>
  <si>
    <t xml:space="preserve">K0018824-02</t>
  </si>
  <si>
    <t xml:space="preserve">YN11E01268P1-001</t>
  </si>
  <si>
    <t xml:space="preserve">42C9641941//00</t>
  </si>
  <si>
    <t xml:space="preserve">42C0614471//00</t>
  </si>
  <si>
    <t xml:space="preserve">YY13E01417P1-001</t>
  </si>
  <si>
    <t xml:space="preserve">3BA5778130//00</t>
  </si>
  <si>
    <t xml:space="preserve">KHR32630-00</t>
  </si>
  <si>
    <t xml:space="preserve">EB22P01007P1-001</t>
  </si>
  <si>
    <t xml:space="preserve">YA00017355-003</t>
  </si>
  <si>
    <t xml:space="preserve">YA00065571-003</t>
  </si>
  <si>
    <t xml:space="preserve">LV15E01108P1-001</t>
  </si>
  <si>
    <t xml:space="preserve">1980685580//00</t>
  </si>
  <si>
    <t xml:space="preserve">141809175/0-326560</t>
  </si>
  <si>
    <t xml:space="preserve">YA00089530-000</t>
  </si>
  <si>
    <t xml:space="preserve">1950656991//01</t>
  </si>
  <si>
    <t xml:space="preserve">21T0645350//00</t>
  </si>
  <si>
    <t xml:space="preserve">9L10E02200D0#01-1</t>
  </si>
  <si>
    <t xml:space="preserve">LV11E01116P1-001</t>
  </si>
  <si>
    <t xml:space="preserve">1950678470//00</t>
  </si>
  <si>
    <t xml:space="preserve">YA00101358-001</t>
  </si>
  <si>
    <t xml:space="preserve">3319446760-000</t>
  </si>
  <si>
    <t xml:space="preserve">3319440080-000</t>
  </si>
  <si>
    <t xml:space="preserve">LC15E01144P1-001</t>
  </si>
  <si>
    <t xml:space="preserve">1000346010-1</t>
  </si>
  <si>
    <t xml:space="preserve">P-EB35-1696#01-3</t>
  </si>
  <si>
    <t xml:space="preserve">KHR69540-02</t>
  </si>
  <si>
    <t xml:space="preserve">YY13E01420P1-001</t>
  </si>
  <si>
    <t xml:space="preserve">42CZ899111//01</t>
  </si>
  <si>
    <t xml:space="preserve">ULM271-5502Z0-2</t>
  </si>
  <si>
    <t xml:space="preserve">電源ハーネス</t>
  </si>
  <si>
    <t xml:space="preserve">491962000/1-33249C</t>
  </si>
  <si>
    <t xml:space="preserve">1000345973-1</t>
  </si>
  <si>
    <t xml:space="preserve">23C0665190//00</t>
  </si>
  <si>
    <t xml:space="preserve">YA00022173-007</t>
  </si>
  <si>
    <t xml:space="preserve">425068352A//01</t>
  </si>
  <si>
    <t xml:space="preserve">144809022/0-30555B</t>
  </si>
  <si>
    <t xml:space="preserve">LS11E01281P1-001</t>
  </si>
  <si>
    <t xml:space="preserve">1000283988-2</t>
  </si>
  <si>
    <t xml:space="preserve">5610686430//00</t>
  </si>
  <si>
    <t xml:space="preserve">HP0100K034#01-4</t>
  </si>
  <si>
    <t xml:space="preserve">3319049100-000</t>
  </si>
  <si>
    <t xml:space="preserve">2052953-009</t>
  </si>
  <si>
    <t xml:space="preserve">YA00063296-000</t>
  </si>
  <si>
    <t xml:space="preserve">3319436310-000</t>
  </si>
  <si>
    <t xml:space="preserve">3BA5573522//00</t>
  </si>
  <si>
    <t xml:space="preserve">23C0665210//03</t>
  </si>
  <si>
    <t xml:space="preserve">425068351A//01</t>
  </si>
  <si>
    <t xml:space="preserve">ULM271-5501Z0-2</t>
  </si>
  <si>
    <t xml:space="preserve">ブレードヒューズボックス</t>
  </si>
  <si>
    <t xml:space="preserve">LV15E01109P1-001</t>
  </si>
  <si>
    <t xml:space="preserve">K0022984-02</t>
  </si>
  <si>
    <t xml:space="preserve">YA00101631-000</t>
  </si>
  <si>
    <t xml:space="preserve">42CZ895592//00</t>
  </si>
  <si>
    <t xml:space="preserve">YA00083834-002</t>
  </si>
  <si>
    <t xml:space="preserve">1980671231//05</t>
  </si>
  <si>
    <t xml:space="preserve">1340673120//01</t>
  </si>
  <si>
    <t xml:space="preserve">YA00081127-002</t>
  </si>
  <si>
    <t xml:space="preserve">1000284769-2</t>
  </si>
  <si>
    <t xml:space="preserve">YA00074418-002</t>
  </si>
  <si>
    <t xml:space="preserve">3319445140-000</t>
  </si>
  <si>
    <t xml:space="preserve">81E-77634000-00</t>
  </si>
  <si>
    <t xml:space="preserve">LC11E01123P1-001</t>
  </si>
  <si>
    <t xml:space="preserve">3319049610-001</t>
  </si>
  <si>
    <t xml:space="preserve">YF15E01016P1-002</t>
  </si>
  <si>
    <t xml:space="preserve">4265632150//01</t>
  </si>
  <si>
    <t xml:space="preserve">9E10E02008P1-7</t>
  </si>
  <si>
    <t xml:space="preserve">4387120260-000</t>
  </si>
  <si>
    <t xml:space="preserve">YA00067933-000</t>
  </si>
  <si>
    <t xml:space="preserve">06842-00592-00</t>
  </si>
  <si>
    <t xml:space="preserve">P-EB35-1866#02-3</t>
  </si>
  <si>
    <t xml:space="preserve">20Y0683210//00</t>
  </si>
  <si>
    <t xml:space="preserve">YF13E01124P1-001</t>
  </si>
  <si>
    <t xml:space="preserve">ADMN3209Z1-0002</t>
  </si>
  <si>
    <t xml:space="preserve">42C0613661//00</t>
  </si>
  <si>
    <t xml:space="preserve">3319049720-000</t>
  </si>
  <si>
    <t xml:space="preserve">HP0150K043#01-2</t>
  </si>
  <si>
    <t xml:space="preserve">YY11E01285P1-002</t>
  </si>
  <si>
    <t xml:space="preserve">1000267281-2</t>
  </si>
  <si>
    <t xml:space="preserve">291K2-42061A</t>
  </si>
  <si>
    <t xml:space="preserve">1000284509-2</t>
  </si>
  <si>
    <t xml:space="preserve">YA00068733-002</t>
  </si>
  <si>
    <t xml:space="preserve">YJ00001844-003</t>
  </si>
  <si>
    <t xml:space="preserve">3319450220-000</t>
  </si>
  <si>
    <t xml:space="preserve">YY13E01266P1-002</t>
  </si>
  <si>
    <t xml:space="preserve">P-EB35-1225#03-3</t>
  </si>
  <si>
    <t xml:space="preserve">YN11E01365P1-002</t>
  </si>
  <si>
    <t xml:space="preserve">YF14E01033P1-001</t>
  </si>
  <si>
    <t xml:space="preserve">1980662414//00.</t>
  </si>
  <si>
    <t xml:space="preserve">141809213/0-33167A</t>
  </si>
  <si>
    <t xml:space="preserve">LC13E01083P1-001</t>
  </si>
  <si>
    <t xml:space="preserve">9K10E02116P1-1</t>
  </si>
  <si>
    <t xml:space="preserve">P-EB35-1369#01-7</t>
  </si>
  <si>
    <t xml:space="preserve">131009171/1-20982A</t>
  </si>
  <si>
    <t xml:space="preserve">1540674152//02</t>
  </si>
  <si>
    <t xml:space="preserve">P-EB35-1821#02-1</t>
  </si>
  <si>
    <t xml:space="preserve">3319454130-000</t>
  </si>
  <si>
    <t xml:space="preserve">3319449860-000</t>
  </si>
  <si>
    <t xml:space="preserve">1950656940//00</t>
  </si>
  <si>
    <t xml:space="preserve">YN11E01616P1-001</t>
  </si>
  <si>
    <t xml:space="preserve">1000179130-1</t>
  </si>
  <si>
    <t xml:space="preserve">23C0661171//00</t>
  </si>
  <si>
    <t xml:space="preserve">17A0671311//01</t>
  </si>
  <si>
    <t xml:space="preserve">42C0613711//02</t>
  </si>
  <si>
    <t xml:space="preserve">1000168234-2</t>
  </si>
  <si>
    <t xml:space="preserve">3319444260-000</t>
  </si>
  <si>
    <t xml:space="preserve">LQ13E01455P1-001</t>
  </si>
  <si>
    <t xml:space="preserve">K0018881-02</t>
  </si>
  <si>
    <t xml:space="preserve">P-EB35-1696#02-3</t>
  </si>
  <si>
    <t xml:space="preserve">KMV21910-00</t>
  </si>
  <si>
    <t xml:space="preserve">1950643480//01</t>
  </si>
  <si>
    <t xml:space="preserve">2070661360//01</t>
  </si>
  <si>
    <t xml:space="preserve">491682000/0-929690</t>
  </si>
  <si>
    <r>
      <rPr>
        <sz val="10"/>
        <rFont val="Arial"/>
        <family val="0"/>
        <charset val="1"/>
      </rPr>
      <t xml:space="preserve">FUSE</t>
    </r>
    <r>
      <rPr>
        <sz val="10"/>
        <rFont val="Noto Sans CJK SC"/>
        <family val="2"/>
      </rPr>
      <t xml:space="preserve">（</t>
    </r>
    <r>
      <rPr>
        <sz val="10"/>
        <rFont val="Arial"/>
        <family val="0"/>
        <charset val="1"/>
      </rPr>
      <t xml:space="preserve">BUSSMANN</t>
    </r>
    <r>
      <rPr>
        <sz val="10"/>
        <rFont val="Noto Sans CJK SC"/>
        <family val="2"/>
      </rPr>
      <t xml:space="preserve">）</t>
    </r>
  </si>
  <si>
    <t xml:space="preserve">YA00002473-000</t>
  </si>
  <si>
    <t xml:space="preserve">KSPE1703401B-000</t>
  </si>
  <si>
    <t xml:space="preserve">HOUSING</t>
  </si>
  <si>
    <t xml:space="preserve">722A1-37115$1</t>
  </si>
  <si>
    <t xml:space="preserve">ＷＩＲＥ　ＨＡＲＮＥＳＳ</t>
  </si>
  <si>
    <t xml:space="preserve">㈱ﾛｼﾞｽﾈｸｽト部品ｾﾝﾀｰ</t>
  </si>
  <si>
    <t xml:space="preserve">3319437940-000</t>
  </si>
  <si>
    <t xml:space="preserve">389951152/0-321240</t>
  </si>
  <si>
    <t xml:space="preserve">K0021835-02</t>
  </si>
  <si>
    <t xml:space="preserve">3319039590-000</t>
  </si>
  <si>
    <t xml:space="preserve">21T0634991//00.</t>
  </si>
  <si>
    <t xml:space="preserve">YN11E01368P2-001</t>
  </si>
  <si>
    <t xml:space="preserve">1000409869-1</t>
  </si>
  <si>
    <t xml:space="preserve">135609022/0-302710</t>
  </si>
  <si>
    <t xml:space="preserve">東京フジ㈱</t>
  </si>
  <si>
    <t xml:space="preserve">K0018772-00</t>
  </si>
  <si>
    <t xml:space="preserve">LV13E01376P2-001</t>
  </si>
  <si>
    <t xml:space="preserve">42CZ897831//00</t>
  </si>
  <si>
    <t xml:space="preserve">YB13E01040P2-001</t>
  </si>
  <si>
    <t xml:space="preserve">21T0634511//00</t>
  </si>
  <si>
    <t xml:space="preserve">389953146/0-321140</t>
  </si>
  <si>
    <t xml:space="preserve">19039-00250-00</t>
  </si>
  <si>
    <t xml:space="preserve">FUSE</t>
  </si>
  <si>
    <t xml:space="preserve">YA00070244-001</t>
  </si>
  <si>
    <t xml:space="preserve">LS13E01584P1-002</t>
  </si>
  <si>
    <t xml:space="preserve">KAR16960-01</t>
  </si>
  <si>
    <t xml:space="preserve">42CZ897861//00</t>
  </si>
  <si>
    <t xml:space="preserve">144609015/0-401210</t>
  </si>
  <si>
    <t xml:space="preserve">3319449230-000</t>
  </si>
  <si>
    <t xml:space="preserve">1000284589-2</t>
  </si>
  <si>
    <t xml:space="preserve">YA00027786-002</t>
  </si>
  <si>
    <t xml:space="preserve">4728512-002</t>
  </si>
  <si>
    <t xml:space="preserve">9G10E02027P1-4</t>
  </si>
  <si>
    <t xml:space="preserve">1000284536-2</t>
  </si>
  <si>
    <t xml:space="preserve">YA00013354-001</t>
  </si>
  <si>
    <t xml:space="preserve">17AZ112161//00.</t>
  </si>
  <si>
    <t xml:space="preserve">141809677/0-348480</t>
  </si>
  <si>
    <t xml:space="preserve">9E10E01995P1-2</t>
  </si>
  <si>
    <t xml:space="preserve">YA00074458-000</t>
  </si>
  <si>
    <t xml:space="preserve">LV15E01130P1-003</t>
  </si>
  <si>
    <t xml:space="preserve">YN11E01203P1-001</t>
  </si>
  <si>
    <t xml:space="preserve">キャップ</t>
  </si>
  <si>
    <t xml:space="preserve">141833178/0-115440</t>
  </si>
  <si>
    <t xml:space="preserve">EZ54E00010F1-001</t>
  </si>
  <si>
    <t xml:space="preserve">9E10E01998P1-2</t>
  </si>
  <si>
    <t xml:space="preserve">YA00011702-002</t>
  </si>
  <si>
    <t xml:space="preserve">4270625180//01</t>
  </si>
  <si>
    <t xml:space="preserve">42CS953890//01</t>
  </si>
  <si>
    <t xml:space="preserve">LC15E01146P1-001</t>
  </si>
  <si>
    <t xml:space="preserve">LC16E01098P1-002</t>
  </si>
  <si>
    <t xml:space="preserve">YA00009994-002</t>
  </si>
  <si>
    <t xml:space="preserve">P-EB35-912#04-7</t>
  </si>
  <si>
    <t xml:space="preserve">425068131A//01</t>
  </si>
  <si>
    <t xml:space="preserve">4683544-001</t>
  </si>
  <si>
    <t xml:space="preserve">3319453610-000</t>
  </si>
  <si>
    <t xml:space="preserve">3319451190-000</t>
  </si>
  <si>
    <t xml:space="preserve">21T0642371//01</t>
  </si>
  <si>
    <t xml:space="preserve">3319449870-000</t>
  </si>
  <si>
    <t xml:space="preserve">YA00027872-002</t>
  </si>
  <si>
    <t xml:space="preserve">28L32-42081A</t>
  </si>
  <si>
    <t xml:space="preserve">HARNESS ENGINE</t>
  </si>
  <si>
    <t xml:space="preserve">42C0613790//02</t>
  </si>
  <si>
    <t xml:space="preserve">622-4158HE00</t>
  </si>
  <si>
    <t xml:space="preserve">263E242013-002</t>
  </si>
  <si>
    <t xml:space="preserve">YY15E01063P1-001</t>
  </si>
  <si>
    <t xml:space="preserve">589-1769HE01</t>
  </si>
  <si>
    <t xml:space="preserve">1000438751-1</t>
  </si>
  <si>
    <t xml:space="preserve">P-EB35-1552#02-4</t>
  </si>
  <si>
    <t xml:space="preserve">LC13E01777P1-002</t>
  </si>
  <si>
    <t xml:space="preserve">0819226100//00</t>
  </si>
  <si>
    <t xml:space="preserve">CONNCTOR</t>
  </si>
  <si>
    <t xml:space="preserve">YN13E01532P1-002</t>
  </si>
  <si>
    <r>
      <rPr>
        <sz val="10"/>
        <rFont val="Arial"/>
        <family val="0"/>
        <charset val="1"/>
      </rPr>
      <t xml:space="preserve">HARNESS</t>
    </r>
    <r>
      <rPr>
        <sz val="10"/>
        <rFont val="Noto Sans CJK SC"/>
        <family val="2"/>
      </rPr>
      <t xml:space="preserve">（</t>
    </r>
    <r>
      <rPr>
        <sz val="10"/>
        <rFont val="Arial"/>
        <family val="0"/>
        <charset val="1"/>
      </rPr>
      <t xml:space="preserve">ECU</t>
    </r>
    <r>
      <rPr>
        <sz val="10"/>
        <rFont val="Noto Sans CJK SC"/>
        <family val="2"/>
      </rPr>
      <t xml:space="preserve">）</t>
    </r>
  </si>
  <si>
    <t xml:space="preserve">17M0641520//03</t>
  </si>
  <si>
    <t xml:space="preserve">0819124106//00</t>
  </si>
  <si>
    <t xml:space="preserve">YA00039739-003</t>
  </si>
  <si>
    <t xml:space="preserve">K0023357-00</t>
  </si>
  <si>
    <t xml:space="preserve">3988070250-001</t>
  </si>
  <si>
    <t xml:space="preserve">1980673622//05</t>
  </si>
  <si>
    <t xml:space="preserve">3319048790-000</t>
  </si>
  <si>
    <t xml:space="preserve">21T0634442//00</t>
  </si>
  <si>
    <t xml:space="preserve">1980671530//01</t>
  </si>
  <si>
    <t xml:space="preserve">P-EB35-1820#07-1</t>
  </si>
  <si>
    <t xml:space="preserve">1540674183//03</t>
  </si>
  <si>
    <t xml:space="preserve">KRV55910-00</t>
  </si>
  <si>
    <t xml:space="preserve">3319447410-000</t>
  </si>
  <si>
    <t xml:space="preserve">LS15E01157P1-001</t>
  </si>
  <si>
    <t xml:space="preserve">YR11E01051P1-001</t>
  </si>
  <si>
    <t xml:space="preserve">135609018/1-30267A</t>
  </si>
  <si>
    <t xml:space="preserve">585-8698HE00</t>
  </si>
  <si>
    <t xml:space="preserve">1950656950//00</t>
  </si>
  <si>
    <t xml:space="preserve">140609071/0-411170</t>
  </si>
  <si>
    <t xml:space="preserve">YA00084413-001</t>
  </si>
  <si>
    <t xml:space="preserve">4265621314//01</t>
  </si>
  <si>
    <t xml:space="preserve">131009027/0-303500</t>
  </si>
  <si>
    <t xml:space="preserve">XYN11E01787P1-001</t>
  </si>
  <si>
    <t xml:space="preserve">2090641260//01</t>
  </si>
  <si>
    <t xml:space="preserve">591K5-12001</t>
  </si>
  <si>
    <t xml:space="preserve">ULM272-5118Z0</t>
  </si>
  <si>
    <r>
      <rPr>
        <sz val="10"/>
        <rFont val="Noto Sans CJK SC"/>
        <family val="2"/>
      </rPr>
      <t xml:space="preserve">丸型押ボタンスイッチ赤２</t>
    </r>
    <r>
      <rPr>
        <sz val="10"/>
        <rFont val="Arial"/>
        <family val="0"/>
        <charset val="1"/>
      </rPr>
      <t xml:space="preserve">c</t>
    </r>
  </si>
  <si>
    <t xml:space="preserve">YY11E01287P3-001</t>
  </si>
  <si>
    <t xml:space="preserve">LS13E01630P1-001</t>
  </si>
  <si>
    <t xml:space="preserve">42CZ897821//00</t>
  </si>
  <si>
    <t xml:space="preserve">K0018454-00</t>
  </si>
  <si>
    <t xml:space="preserve">3BA5773471//00</t>
  </si>
  <si>
    <t xml:space="preserve">LQ11E01073P1-001</t>
  </si>
  <si>
    <t xml:space="preserve">21N0641171//00-M</t>
  </si>
  <si>
    <t xml:space="preserve">A24A230902-0000</t>
  </si>
  <si>
    <t xml:space="preserve">1000179642-1</t>
  </si>
  <si>
    <t xml:space="preserve">HP0100K033#01-2</t>
  </si>
  <si>
    <t xml:space="preserve">YY15E01067P1-001</t>
  </si>
  <si>
    <t xml:space="preserve">YA00056302-001</t>
  </si>
  <si>
    <t xml:space="preserve">3319445200-000</t>
  </si>
  <si>
    <t xml:space="preserve">YA00008126-002</t>
  </si>
  <si>
    <t xml:space="preserve">1000438714-1</t>
  </si>
  <si>
    <t xml:space="preserve">LS15E01189P2-001</t>
  </si>
  <si>
    <t xml:space="preserve">YA00034657-001</t>
  </si>
  <si>
    <t xml:space="preserve">YN15E01185P1-001</t>
  </si>
  <si>
    <t xml:space="preserve">1000230357-1</t>
  </si>
  <si>
    <t xml:space="preserve">3319445220-000</t>
  </si>
  <si>
    <t xml:space="preserve">LS11E01246P1-001</t>
  </si>
  <si>
    <t xml:space="preserve">P-EB35-1571#01-5</t>
  </si>
  <si>
    <t xml:space="preserve">LC13E01739P1-002</t>
  </si>
  <si>
    <t xml:space="preserve">42CZ897841//00</t>
  </si>
  <si>
    <t xml:space="preserve">P-EB35-1768#02-2</t>
  </si>
  <si>
    <t xml:space="preserve">YA00063695-001</t>
  </si>
  <si>
    <t xml:space="preserve">YY16E01021P1-001</t>
  </si>
  <si>
    <t xml:space="preserve">4553120290-001</t>
  </si>
  <si>
    <t xml:space="preserve">RESISTOR</t>
  </si>
  <si>
    <t xml:space="preserve">42CZ897812//00</t>
  </si>
  <si>
    <t xml:space="preserve">4653140-002</t>
  </si>
  <si>
    <t xml:space="preserve">P-EB35-1098#06-4</t>
  </si>
  <si>
    <t xml:space="preserve">LQ13E01398P1-001</t>
  </si>
  <si>
    <t xml:space="preserve">YY11E01407P1-002</t>
  </si>
  <si>
    <t xml:space="preserve">GI-2026-009</t>
  </si>
  <si>
    <r>
      <rPr>
        <sz val="10"/>
        <rFont val="Arial"/>
        <family val="0"/>
        <charset val="1"/>
      </rPr>
      <t xml:space="preserve">K0022146-03,K0022144-05</t>
    </r>
    <r>
      <rPr>
        <sz val="10"/>
        <rFont val="Noto Sans CJK SC"/>
        <family val="2"/>
      </rPr>
      <t xml:space="preserve">への改造費</t>
    </r>
  </si>
  <si>
    <t xml:space="preserve">140609054/0-30990A</t>
  </si>
  <si>
    <t xml:space="preserve">141833179/0-115450</t>
  </si>
  <si>
    <t xml:space="preserve">LS13E01524P1-001</t>
  </si>
  <si>
    <t xml:space="preserve">YA00064437-000</t>
  </si>
  <si>
    <t xml:space="preserve">HP0100K028#01-3</t>
  </si>
  <si>
    <t xml:space="preserve">2052681-003.</t>
  </si>
  <si>
    <t xml:space="preserve">K0021820-01</t>
  </si>
  <si>
    <t xml:space="preserve">1980671360//01</t>
  </si>
  <si>
    <t xml:space="preserve">A24A240900-0001</t>
  </si>
  <si>
    <t xml:space="preserve">YA00006821-000</t>
  </si>
  <si>
    <t xml:space="preserve">BRACKET</t>
  </si>
  <si>
    <t xml:space="preserve">XYN11E01803P1-001</t>
  </si>
  <si>
    <t xml:space="preserve">K0016687-02</t>
  </si>
  <si>
    <t xml:space="preserve">YT11E01118P1-002</t>
  </si>
  <si>
    <t xml:space="preserve">P-EB35-1233#01-5</t>
  </si>
  <si>
    <t xml:space="preserve">LQ13E01361P1-001</t>
  </si>
  <si>
    <t xml:space="preserve">28F02-42203</t>
  </si>
  <si>
    <r>
      <rPr>
        <sz val="10"/>
        <rFont val="Noto Sans CJK SC"/>
        <family val="2"/>
      </rPr>
      <t xml:space="preserve">ＷＩＲＥ　ＨＡＲＮＥＳＳ　</t>
    </r>
    <r>
      <rPr>
        <sz val="10"/>
        <rFont val="Arial"/>
        <family val="0"/>
        <charset val="1"/>
      </rPr>
      <t xml:space="preserve">ASSY</t>
    </r>
  </si>
  <si>
    <t xml:space="preserve">1000412970-1</t>
  </si>
  <si>
    <t xml:space="preserve">1000168225-1</t>
  </si>
  <si>
    <t xml:space="preserve">1000348941-1</t>
  </si>
  <si>
    <t xml:space="preserve">4269254272//00</t>
  </si>
  <si>
    <t xml:space="preserve">LS11E01151P1-001</t>
  </si>
  <si>
    <t xml:space="preserve">1000073690-5</t>
  </si>
  <si>
    <t xml:space="preserve">YY11E01386P1-002</t>
  </si>
  <si>
    <t xml:space="preserve">23C0665280//00</t>
  </si>
  <si>
    <t xml:space="preserve">YF11E01084P1-002</t>
  </si>
  <si>
    <t xml:space="preserve">LV15E01141P1-001</t>
  </si>
  <si>
    <t xml:space="preserve">4726611-001</t>
  </si>
  <si>
    <t xml:space="preserve">K0018843-00</t>
  </si>
  <si>
    <t xml:space="preserve">LC13E01776P1-001</t>
  </si>
  <si>
    <t xml:space="preserve">HCL584F013C-C3</t>
  </si>
  <si>
    <t xml:space="preserve">HCL584F014-A1</t>
  </si>
  <si>
    <t xml:space="preserve">9E10E01525P1-1</t>
  </si>
  <si>
    <t xml:space="preserve">HCL584F014C-A1</t>
  </si>
  <si>
    <t xml:space="preserve">HCL584F014A-A1</t>
  </si>
  <si>
    <t xml:space="preserve">P-EB35-1866#01-3</t>
  </si>
  <si>
    <t xml:space="preserve">YA00072233-002</t>
  </si>
  <si>
    <t xml:space="preserve">23C0665360//00</t>
  </si>
  <si>
    <t xml:space="preserve">YA00036122-000</t>
  </si>
  <si>
    <t xml:space="preserve">23C0665460//00</t>
  </si>
  <si>
    <t xml:space="preserve">YY13E01600P1-001</t>
  </si>
  <si>
    <t xml:space="preserve">YA00068583-000</t>
  </si>
  <si>
    <t xml:space="preserve">1000438768-1</t>
  </si>
  <si>
    <t xml:space="preserve">XYN13E02689P1-002</t>
  </si>
  <si>
    <t xml:space="preserve">1540671160//01</t>
  </si>
  <si>
    <t xml:space="preserve">LC15E01193P1-001</t>
  </si>
  <si>
    <t xml:space="preserve">9G10E02203D0#01-1</t>
  </si>
  <si>
    <t xml:space="preserve">PRESSURE SWITCH</t>
  </si>
  <si>
    <t xml:space="preserve">198Z116881//00</t>
  </si>
  <si>
    <t xml:space="preserve">FBR13760-00</t>
  </si>
  <si>
    <t xml:space="preserve">9E10E01997P1-3</t>
  </si>
  <si>
    <t xml:space="preserve">LQ11E01083P1-001</t>
  </si>
  <si>
    <t xml:space="preserve">163409193/1-21734A</t>
  </si>
  <si>
    <t xml:space="preserve">A24A230904-0001</t>
  </si>
  <si>
    <t xml:space="preserve">LS15E01155P1-002</t>
  </si>
  <si>
    <t xml:space="preserve">HP0150K081#01-2</t>
  </si>
  <si>
    <t xml:space="preserve">LV15E01126P1-001</t>
  </si>
  <si>
    <t xml:space="preserve">GB11E01131P2-001</t>
  </si>
  <si>
    <t xml:space="preserve">LV15E01067P1-003</t>
  </si>
  <si>
    <t xml:space="preserve">3319438270-000</t>
  </si>
  <si>
    <t xml:space="preserve">KHR65690-00</t>
  </si>
  <si>
    <t xml:space="preserve">3319449120-000</t>
  </si>
  <si>
    <t xml:space="preserve">62J181-11110</t>
  </si>
  <si>
    <t xml:space="preserve">KTR14191-00</t>
  </si>
  <si>
    <t xml:space="preserve">598-5589HE00</t>
  </si>
  <si>
    <t xml:space="preserve">3319453190-000</t>
  </si>
  <si>
    <t xml:space="preserve">1000284649-2</t>
  </si>
  <si>
    <t xml:space="preserve">K0022349-02</t>
  </si>
  <si>
    <t xml:space="preserve">1000266980-2</t>
  </si>
  <si>
    <t xml:space="preserve">LV13E01371P1-002</t>
  </si>
  <si>
    <t xml:space="preserve">590S7-62441A</t>
  </si>
  <si>
    <t xml:space="preserve">K3620001040</t>
  </si>
  <si>
    <t xml:space="preserve">変換コネクター</t>
  </si>
  <si>
    <t xml:space="preserve">1000284749-2</t>
  </si>
  <si>
    <t xml:space="preserve">42C9641951//01</t>
  </si>
  <si>
    <t xml:space="preserve">163409123/0-31493A</t>
  </si>
  <si>
    <t xml:space="preserve">LV13E01381P1-002</t>
  </si>
  <si>
    <t xml:space="preserve">LQ11E01162P1-001</t>
  </si>
  <si>
    <t xml:space="preserve">KHR79590-00</t>
  </si>
  <si>
    <t xml:space="preserve">9E10E02038P1-6</t>
  </si>
  <si>
    <t xml:space="preserve">P-EB35-1169#02-7</t>
  </si>
  <si>
    <t xml:space="preserve">LS13E01659P1-002</t>
  </si>
  <si>
    <t xml:space="preserve">YF15E01027P1-001</t>
  </si>
  <si>
    <t xml:space="preserve">1980662781//02</t>
  </si>
  <si>
    <t xml:space="preserve">YA00026069-002</t>
  </si>
  <si>
    <t xml:space="preserve">LS13E01645P1-001</t>
  </si>
  <si>
    <t xml:space="preserve">YA00063696-000</t>
  </si>
  <si>
    <t xml:space="preserve">K0022144-05</t>
  </si>
  <si>
    <t xml:space="preserve">491623000/0-929100</t>
  </si>
  <si>
    <t xml:space="preserve">YA00033283-001</t>
  </si>
  <si>
    <t xml:space="preserve">563A242221-000</t>
  </si>
  <si>
    <t xml:space="preserve">LS13E01647P1-001</t>
  </si>
  <si>
    <t xml:space="preserve">LV13E01372P2-001</t>
  </si>
  <si>
    <t xml:space="preserve">LV13E01384P1-001</t>
  </si>
  <si>
    <t xml:space="preserve">120709550/0-225680</t>
  </si>
  <si>
    <t xml:space="preserve">KHR52062-00</t>
  </si>
  <si>
    <t xml:space="preserve">42CZ899122//02</t>
  </si>
  <si>
    <t xml:space="preserve">LC13E01687P1-001</t>
  </si>
  <si>
    <t xml:space="preserve">17M0642120//03-M</t>
  </si>
  <si>
    <t xml:space="preserve">17M0644810//00</t>
  </si>
  <si>
    <t xml:space="preserve">LV13E01144P1-001</t>
  </si>
  <si>
    <t xml:space="preserve">59S06-M3332</t>
  </si>
  <si>
    <t xml:space="preserve">LC13E01611P1-001</t>
  </si>
  <si>
    <t xml:space="preserve">42CZ898740//00</t>
  </si>
  <si>
    <t xml:space="preserve">1540674270//02</t>
  </si>
  <si>
    <t xml:space="preserve">1000179652-1</t>
  </si>
  <si>
    <t xml:space="preserve">3319434900-000</t>
  </si>
  <si>
    <t xml:space="preserve">LC13E01614P1-001</t>
  </si>
  <si>
    <t xml:space="preserve">LC13E01610P1-002</t>
  </si>
  <si>
    <t xml:space="preserve">LC13E01682P1-003</t>
  </si>
  <si>
    <t xml:space="preserve">XV00004938-000</t>
  </si>
  <si>
    <t xml:space="preserve">144909022/0-205000</t>
  </si>
  <si>
    <t xml:space="preserve">144509032/0-304160</t>
  </si>
  <si>
    <t xml:space="preserve">1340672870//00</t>
  </si>
  <si>
    <t xml:space="preserve">4320612270//00</t>
  </si>
  <si>
    <t xml:space="preserve">140609055/0-309910</t>
  </si>
  <si>
    <t xml:space="preserve">1980671351//02</t>
  </si>
  <si>
    <t xml:space="preserve">3319447790-000</t>
  </si>
  <si>
    <t xml:space="preserve">579-5622HE00</t>
  </si>
  <si>
    <t xml:space="preserve">YA00087425-000</t>
  </si>
  <si>
    <t xml:space="preserve">LS13E01660P1-003</t>
  </si>
  <si>
    <t xml:space="preserve">42CZ898781//00</t>
  </si>
  <si>
    <t xml:space="preserve">22U0683860//01</t>
  </si>
  <si>
    <t xml:space="preserve">K0022980-00</t>
  </si>
  <si>
    <t xml:space="preserve">163409134/0-315460</t>
  </si>
  <si>
    <t xml:space="preserve">K0018888-00</t>
  </si>
  <si>
    <t xml:space="preserve">LC15E01151P1-001</t>
  </si>
  <si>
    <t xml:space="preserve">140609072/0-411180</t>
  </si>
  <si>
    <t xml:space="preserve">1000441135-1</t>
  </si>
  <si>
    <t xml:space="preserve">1000339429-1</t>
  </si>
  <si>
    <t xml:space="preserve">YA00087283-001</t>
  </si>
  <si>
    <t xml:space="preserve">1000440924-1</t>
  </si>
  <si>
    <t xml:space="preserve">4670046-000.</t>
  </si>
  <si>
    <t xml:space="preserve">21T0645310//02</t>
  </si>
  <si>
    <t xml:space="preserve">P-EB35-1406#02-3</t>
  </si>
  <si>
    <t xml:space="preserve">K0021230-00</t>
  </si>
  <si>
    <t xml:space="preserve">YJ00009066-001</t>
  </si>
  <si>
    <t xml:space="preserve">LC13E01613P1-001</t>
  </si>
  <si>
    <t xml:space="preserve">4679878-001</t>
  </si>
  <si>
    <t xml:space="preserve">1000435008-1</t>
  </si>
  <si>
    <t xml:space="preserve">YA-2026-027</t>
  </si>
  <si>
    <t xml:space="preserve">YA00039241-001</t>
  </si>
  <si>
    <t xml:space="preserve">LS13E01661P1-001</t>
  </si>
  <si>
    <t xml:space="preserve">1980686581//02</t>
  </si>
  <si>
    <t xml:space="preserve">4723852-001</t>
  </si>
  <si>
    <t xml:space="preserve">1000284738-2</t>
  </si>
  <si>
    <t xml:space="preserve">163409168/0-316640</t>
  </si>
  <si>
    <t xml:space="preserve">YF11E01057P1-001</t>
  </si>
  <si>
    <t xml:space="preserve">LM551--2513Z0</t>
  </si>
  <si>
    <t xml:space="preserve">YA00085916-000</t>
  </si>
  <si>
    <t xml:space="preserve">590S5-12211</t>
  </si>
  <si>
    <t xml:space="preserve">21T0645520//01</t>
  </si>
  <si>
    <t xml:space="preserve">1980686571//02</t>
  </si>
  <si>
    <t xml:space="preserve">3297020800-001</t>
  </si>
  <si>
    <t xml:space="preserve">3319437950-000</t>
  </si>
  <si>
    <t xml:space="preserve">KHR46210-00</t>
  </si>
  <si>
    <t xml:space="preserve">YN15E01277P1-001</t>
  </si>
  <si>
    <t xml:space="preserve">YA00084710-002</t>
  </si>
  <si>
    <t xml:space="preserve">23C0661331//01</t>
  </si>
  <si>
    <t xml:space="preserve">1000090783-3</t>
  </si>
  <si>
    <t xml:space="preserve">4270625172//01</t>
  </si>
  <si>
    <t xml:space="preserve">YM11E01020P1-001</t>
  </si>
  <si>
    <t xml:space="preserve">1000409578-1</t>
  </si>
  <si>
    <t xml:space="preserve">135609023/0-302740</t>
  </si>
  <si>
    <t xml:space="preserve">3BA5777250//00</t>
  </si>
  <si>
    <t xml:space="preserve">0819212400//00</t>
  </si>
  <si>
    <t xml:space="preserve">K0023270-00</t>
  </si>
  <si>
    <t xml:space="preserve">YN16E01044P1-001</t>
  </si>
  <si>
    <t xml:space="preserve">LR11E01012P1-001</t>
  </si>
  <si>
    <t xml:space="preserve">K0022983-01</t>
  </si>
  <si>
    <t xml:space="preserve">P-EB35-1406#01-3</t>
  </si>
  <si>
    <t xml:space="preserve">8V10E01987P1-1</t>
  </si>
  <si>
    <t xml:space="preserve">YN11E01420P1-002</t>
  </si>
  <si>
    <t xml:space="preserve">1980671910//01</t>
  </si>
  <si>
    <t xml:space="preserve">YA00024390-000</t>
  </si>
  <si>
    <t xml:space="preserve">LC13E01740P1-002</t>
  </si>
  <si>
    <t xml:space="preserve">23C0665310//00</t>
  </si>
  <si>
    <t xml:space="preserve">LS13E01657P1-001</t>
  </si>
  <si>
    <t xml:space="preserve">9G10E02001P1-1</t>
  </si>
  <si>
    <t xml:space="preserve">198Z116590//00</t>
  </si>
  <si>
    <t xml:space="preserve">PLATE</t>
  </si>
  <si>
    <t xml:space="preserve">LS15E01212P1-001</t>
  </si>
  <si>
    <t xml:space="preserve">K0018805-00</t>
  </si>
  <si>
    <t xml:space="preserve">YA00027484-003</t>
  </si>
  <si>
    <t xml:space="preserve">LS11E01215P1-001</t>
  </si>
  <si>
    <t xml:space="preserve">LS13E01643P1-001</t>
  </si>
  <si>
    <t xml:space="preserve">5R041-91221-0</t>
  </si>
  <si>
    <t xml:space="preserve">YN11E01310P5-001</t>
  </si>
  <si>
    <t xml:space="preserve">YY13E01265P1-001</t>
  </si>
  <si>
    <t xml:space="preserve">2070675180//00</t>
  </si>
  <si>
    <t xml:space="preserve">06842-00597-00</t>
  </si>
  <si>
    <t xml:space="preserve">141809278/0-337560</t>
  </si>
  <si>
    <t xml:space="preserve">AVS1.25-W/G</t>
  </si>
  <si>
    <t xml:space="preserve">WIRE</t>
  </si>
  <si>
    <t xml:space="preserve">389952148/0-32116B</t>
  </si>
  <si>
    <t xml:space="preserve">LC15E01149P2-001</t>
  </si>
  <si>
    <t xml:space="preserve">YF11E01056P1-001</t>
  </si>
  <si>
    <t xml:space="preserve">LQ11E01127P1-001</t>
  </si>
  <si>
    <t xml:space="preserve">LV13E01386P1-002</t>
  </si>
  <si>
    <t xml:space="preserve">LS11E01264P1-001</t>
  </si>
  <si>
    <t xml:space="preserve">YN15E01140P1-001</t>
  </si>
  <si>
    <t xml:space="preserve">K0018884-01</t>
  </si>
  <si>
    <t xml:space="preserve">K0018834-00</t>
  </si>
  <si>
    <r>
      <rPr>
        <sz val="10"/>
        <rFont val="Arial"/>
        <family val="0"/>
        <charset val="1"/>
      </rPr>
      <t xml:space="preserve">HARNESS</t>
    </r>
    <r>
      <rPr>
        <sz val="10"/>
        <rFont val="Noto Sans CJK SC"/>
        <family val="2"/>
      </rPr>
      <t xml:space="preserve">　</t>
    </r>
    <r>
      <rPr>
        <sz val="10"/>
        <rFont val="Arial"/>
        <family val="0"/>
        <charset val="1"/>
      </rPr>
      <t xml:space="preserve">AM138</t>
    </r>
    <r>
      <rPr>
        <sz val="10"/>
        <rFont val="Noto Sans CJK SC"/>
        <family val="2"/>
      </rPr>
      <t xml:space="preserve">用</t>
    </r>
  </si>
  <si>
    <t xml:space="preserve">5G321-56331-0</t>
  </si>
  <si>
    <t xml:space="preserve">1000109402-2</t>
  </si>
  <si>
    <t xml:space="preserve">1000212648-1</t>
  </si>
  <si>
    <t xml:space="preserve">YF11E01058P1-001</t>
  </si>
  <si>
    <t xml:space="preserve">K0019455-00</t>
  </si>
  <si>
    <t xml:space="preserve">589-1779HE01</t>
  </si>
  <si>
    <t xml:space="preserve">P-EB35-731-6</t>
  </si>
  <si>
    <t xml:space="preserve">YA00007707-000</t>
  </si>
  <si>
    <t xml:space="preserve">YA00105963-000</t>
  </si>
  <si>
    <t xml:space="preserve">CONNECTOR ASSY</t>
  </si>
  <si>
    <t xml:space="preserve">P-EB35-1098#05-4</t>
  </si>
  <si>
    <t xml:space="preserve">9M10E02182P1-1</t>
  </si>
  <si>
    <t xml:space="preserve">HP0150K044#02-3</t>
  </si>
  <si>
    <t xml:space="preserve">Y417222-002</t>
  </si>
  <si>
    <t xml:space="preserve">9G10E01537P1-3</t>
  </si>
  <si>
    <t xml:space="preserve">135609019/1-30268A</t>
  </si>
  <si>
    <t xml:space="preserve">P-EB35-1395#01-2</t>
  </si>
  <si>
    <t xml:space="preserve">YA00075074-000</t>
  </si>
  <si>
    <t xml:space="preserve">141509016/0-302250</t>
  </si>
  <si>
    <t xml:space="preserve">1000346236-1</t>
  </si>
  <si>
    <t xml:space="preserve">LS13E01646P1-001</t>
  </si>
  <si>
    <t xml:space="preserve">YA00101357-001</t>
  </si>
  <si>
    <t xml:space="preserve">21T0667370//00</t>
  </si>
  <si>
    <t xml:space="preserve">491915000/0-332020</t>
  </si>
  <si>
    <t xml:space="preserve">P-EB35-1394#01-2</t>
  </si>
  <si>
    <t xml:space="preserve">K0020820-01</t>
  </si>
  <si>
    <t xml:space="preserve">P-EB35-1169#03-7</t>
  </si>
  <si>
    <t xml:space="preserve">9F10E02000P1-2</t>
  </si>
  <si>
    <t xml:space="preserve">LR11E01011P1-001</t>
  </si>
  <si>
    <t xml:space="preserve">3319046940-002</t>
  </si>
  <si>
    <t xml:space="preserve">LV15E01061P1-003</t>
  </si>
  <si>
    <t xml:space="preserve">P-EB35-1521#01-6</t>
  </si>
  <si>
    <t xml:space="preserve">LC15E01150P1-001</t>
  </si>
  <si>
    <t xml:space="preserve">28L32-42091</t>
  </si>
  <si>
    <t xml:space="preserve">HARNESS WEIGHT LH</t>
  </si>
  <si>
    <t xml:space="preserve">ADR30041-00</t>
  </si>
  <si>
    <t xml:space="preserve">P-EB35-1820#04-1</t>
  </si>
  <si>
    <t xml:space="preserve">1540671121//01</t>
  </si>
  <si>
    <t xml:space="preserve">135609017/2-30266B</t>
  </si>
  <si>
    <t xml:space="preserve">21N0633720//01</t>
  </si>
  <si>
    <t xml:space="preserve">LS13E01419P1-001</t>
  </si>
  <si>
    <t xml:space="preserve">1000090910-2</t>
  </si>
  <si>
    <t xml:space="preserve">K0022985-00</t>
  </si>
  <si>
    <t xml:space="preserve">A99G3A09M0-0000</t>
  </si>
  <si>
    <t xml:space="preserve">1000109393-2</t>
  </si>
  <si>
    <t xml:space="preserve">LS13E01642P1-002</t>
  </si>
  <si>
    <t xml:space="preserve">3120312-002</t>
  </si>
  <si>
    <t xml:space="preserve">K0018827-00</t>
  </si>
  <si>
    <t xml:space="preserve">1000441175-1</t>
  </si>
  <si>
    <t xml:space="preserve">KHP37200-00</t>
  </si>
  <si>
    <t xml:space="preserve">YY11E01478P1-001</t>
  </si>
  <si>
    <t xml:space="preserve">135609021/0-302700</t>
  </si>
  <si>
    <t xml:space="preserve">3120070440-001</t>
  </si>
  <si>
    <t xml:space="preserve">COVER</t>
  </si>
  <si>
    <t xml:space="preserve">130109092/0-308840</t>
  </si>
  <si>
    <t xml:space="preserve">28L32-42102</t>
  </si>
  <si>
    <t xml:space="preserve">1000346162-1</t>
  </si>
  <si>
    <t xml:space="preserve">YT11E01053P1-001</t>
  </si>
  <si>
    <t xml:space="preserve">YY11E01289P1-001</t>
  </si>
  <si>
    <t xml:space="preserve">72510-59102</t>
  </si>
  <si>
    <t xml:space="preserve">P-EB35-1611#01-4</t>
  </si>
  <si>
    <t xml:space="preserve">HCL584F014B-A1</t>
  </si>
  <si>
    <t xml:space="preserve">HCL584F013D-C3</t>
  </si>
  <si>
    <t xml:space="preserve">YA00093758-002</t>
  </si>
  <si>
    <t xml:space="preserve">20Y0621441//01</t>
  </si>
  <si>
    <t xml:space="preserve">LS13E01658P1-001</t>
  </si>
  <si>
    <t xml:space="preserve">3FD5536550//00</t>
  </si>
  <si>
    <t xml:space="preserve">1000284697-2</t>
  </si>
  <si>
    <t xml:space="preserve">KHR80750-02</t>
  </si>
  <si>
    <t xml:space="preserve">YA00081671-000</t>
  </si>
  <si>
    <t xml:space="preserve">YJ00007607-000</t>
  </si>
  <si>
    <t xml:space="preserve">1000090864-3</t>
  </si>
  <si>
    <t xml:space="preserve">YA00011763-004</t>
  </si>
  <si>
    <t xml:space="preserve">K0018841-00</t>
  </si>
  <si>
    <t xml:space="preserve">608-3343HE00</t>
  </si>
  <si>
    <t xml:space="preserve">HP0080K067#02-6</t>
  </si>
  <si>
    <t xml:space="preserve">1000409951-1</t>
  </si>
  <si>
    <t xml:space="preserve">K0022138-00</t>
  </si>
  <si>
    <t xml:space="preserve">YA00068943-002</t>
  </si>
  <si>
    <t xml:space="preserve">K0018883-00</t>
  </si>
  <si>
    <t xml:space="preserve">YA00067187-003</t>
  </si>
  <si>
    <t xml:space="preserve">AVS1.25-O</t>
  </si>
  <si>
    <t xml:space="preserve">4387170150-000</t>
  </si>
  <si>
    <t xml:space="preserve">4471818-001</t>
  </si>
  <si>
    <t xml:space="preserve">LC13E01612P1-001</t>
  </si>
  <si>
    <t xml:space="preserve">LV13E01396P1-002</t>
  </si>
  <si>
    <t xml:space="preserve">KHR14280-01</t>
  </si>
  <si>
    <t xml:space="preserve">3319047740-000</t>
  </si>
  <si>
    <t xml:space="preserve">1000339433-1</t>
  </si>
  <si>
    <t xml:space="preserve">YL00001401-001</t>
  </si>
  <si>
    <t xml:space="preserve">P-EB35-1292#01-4</t>
  </si>
  <si>
    <t xml:space="preserve">263E2-42071A</t>
  </si>
  <si>
    <t xml:space="preserve">LS13E01662P2-002</t>
  </si>
  <si>
    <t xml:space="preserve">42CZ232160//01</t>
  </si>
  <si>
    <t xml:space="preserve">ADMN3U09Z1-0000</t>
  </si>
  <si>
    <t xml:space="preserve">GG14E01034P1-001</t>
  </si>
  <si>
    <t xml:space="preserve">263G2-42021A</t>
  </si>
  <si>
    <t xml:space="preserve">ADMN3V09Z1-0000</t>
  </si>
  <si>
    <t xml:space="preserve">LQ11E01119P1-001</t>
  </si>
  <si>
    <t xml:space="preserve">P058-E309</t>
  </si>
  <si>
    <t xml:space="preserve">1000359532-1</t>
  </si>
  <si>
    <t xml:space="preserve">K0022147-02</t>
  </si>
  <si>
    <t xml:space="preserve">K0022166-02</t>
  </si>
  <si>
    <t xml:space="preserve">LP13E01073P1-002</t>
  </si>
  <si>
    <t xml:space="preserve">YA00076971-001</t>
  </si>
  <si>
    <t xml:space="preserve">20Y0641930//01</t>
  </si>
  <si>
    <t xml:space="preserve">1000284804-2</t>
  </si>
  <si>
    <t xml:space="preserve">P-EB35-1554#03-3</t>
  </si>
  <si>
    <t xml:space="preserve">YA00004645-001</t>
  </si>
  <si>
    <t xml:space="preserve">1950656141//01</t>
  </si>
  <si>
    <t xml:space="preserve">LS11E01247P1-001</t>
  </si>
  <si>
    <t xml:space="preserve">130809034/0-405390</t>
  </si>
  <si>
    <t xml:space="preserve">LS11E01213P1-001</t>
  </si>
  <si>
    <t xml:space="preserve">AVS5-B/W</t>
  </si>
  <si>
    <t xml:space="preserve">3BA5777240//00</t>
  </si>
  <si>
    <t xml:space="preserve">LC13E01186P1-002.</t>
  </si>
  <si>
    <t xml:space="preserve">YF11E01085P1-001</t>
  </si>
  <si>
    <t xml:space="preserve">YF13E01100P1-001</t>
  </si>
  <si>
    <t xml:space="preserve">YN13E02157P1-001</t>
  </si>
  <si>
    <t xml:space="preserve">YA00073648-000</t>
  </si>
  <si>
    <t xml:space="preserve">LS15E01111P1-001</t>
  </si>
  <si>
    <t xml:space="preserve">LV15E01142P1-001</t>
  </si>
  <si>
    <t xml:space="preserve">3672420960-001</t>
  </si>
  <si>
    <t xml:space="preserve">TUBE;CORRUGATED</t>
  </si>
  <si>
    <t xml:space="preserve">1000090918-2</t>
  </si>
  <si>
    <t xml:space="preserve">LV14E01029P1-003</t>
  </si>
  <si>
    <t xml:space="preserve">56B5423410//02</t>
  </si>
  <si>
    <t xml:space="preserve">3BA5773111//00</t>
  </si>
  <si>
    <t xml:space="preserve">YY11E01286P2-001</t>
  </si>
  <si>
    <t xml:space="preserve">3319449130-000</t>
  </si>
  <si>
    <t xml:space="preserve">MW1B-M11R</t>
  </si>
  <si>
    <r>
      <rPr>
        <sz val="10"/>
        <rFont val="Arial"/>
        <family val="0"/>
        <charset val="1"/>
      </rPr>
      <t xml:space="preserve">SWITCH(MW</t>
    </r>
    <r>
      <rPr>
        <sz val="10"/>
        <rFont val="Noto Sans CJK SC"/>
        <family val="2"/>
      </rPr>
      <t xml:space="preserve">ｼﾘｰｽﾞ押ﾎﾞﾀﾝｽｲｯﾁ</t>
    </r>
    <r>
      <rPr>
        <sz val="10"/>
        <rFont val="Arial"/>
        <family val="0"/>
        <charset val="1"/>
      </rPr>
      <t xml:space="preserve">)</t>
    </r>
  </si>
  <si>
    <t xml:space="preserve">YA00077941-000</t>
  </si>
  <si>
    <t xml:space="preserve">YA00070377-000</t>
  </si>
  <si>
    <t xml:space="preserve">YA00034028-000</t>
  </si>
  <si>
    <t xml:space="preserve">P-EB35-1768#04-2</t>
  </si>
  <si>
    <t xml:space="preserve">42C9641930//01</t>
  </si>
  <si>
    <t xml:space="preserve">LV13E01382P1-002</t>
  </si>
  <si>
    <t xml:space="preserve">1000237755-3</t>
  </si>
  <si>
    <t xml:space="preserve">YN11E01265P1-001</t>
  </si>
  <si>
    <t xml:space="preserve">LS15E01183P1-001</t>
  </si>
  <si>
    <t xml:space="preserve">KHR40410-00</t>
  </si>
  <si>
    <t xml:space="preserve">135609043/0-303400</t>
  </si>
  <si>
    <t xml:space="preserve">YN11E01591P1-001</t>
  </si>
  <si>
    <t xml:space="preserve">YJ00004901-000</t>
  </si>
  <si>
    <t xml:space="preserve">CONECTOR</t>
  </si>
  <si>
    <t xml:space="preserve">YN13E01336P1-001</t>
  </si>
  <si>
    <t xml:space="preserve">1540674161//01</t>
  </si>
  <si>
    <t xml:space="preserve">1000284560-2</t>
  </si>
  <si>
    <t xml:space="preserve">LS13E01585P2-001</t>
  </si>
  <si>
    <t xml:space="preserve">HP0150K075#03-1</t>
  </si>
  <si>
    <t xml:space="preserve">21T0634951//00.</t>
  </si>
  <si>
    <t xml:space="preserve">KHR67470-01</t>
  </si>
  <si>
    <t xml:space="preserve">KHR38240-01</t>
  </si>
  <si>
    <t xml:space="preserve">LC13E01616P1-001</t>
  </si>
  <si>
    <t xml:space="preserve">21T0643120//00</t>
  </si>
  <si>
    <t xml:space="preserve">AVS5-B/Y</t>
  </si>
  <si>
    <t xml:space="preserve">LV11E01123P1-001</t>
  </si>
  <si>
    <t xml:space="preserve">17AZ112410//02</t>
  </si>
  <si>
    <t xml:space="preserve">P-EB35-1225#01-3</t>
  </si>
  <si>
    <t xml:space="preserve">4210681512//01</t>
  </si>
  <si>
    <t xml:space="preserve">3319358260-000</t>
  </si>
  <si>
    <t xml:space="preserve">LV11E01125P2-001</t>
  </si>
  <si>
    <t xml:space="preserve">YA00068584-000</t>
  </si>
  <si>
    <t xml:space="preserve">42C0614910//00</t>
  </si>
  <si>
    <t xml:space="preserve">K0018870-00</t>
  </si>
  <si>
    <t xml:space="preserve">3319444340-000</t>
  </si>
  <si>
    <t xml:space="preserve">YJ60003398-003</t>
  </si>
  <si>
    <t xml:space="preserve">リミットスイッチ</t>
  </si>
  <si>
    <t xml:space="preserve">P-EB35-1368#03-5</t>
  </si>
  <si>
    <t xml:space="preserve">K0020237-00</t>
  </si>
  <si>
    <t xml:space="preserve">LS11E01235P1-001</t>
  </si>
  <si>
    <t xml:space="preserve">LS16E01026P1-001</t>
  </si>
  <si>
    <t xml:space="preserve">617-2832HE00</t>
  </si>
  <si>
    <t xml:space="preserve">LS11E01262P1-001</t>
  </si>
  <si>
    <t xml:space="preserve">3319450190-000</t>
  </si>
  <si>
    <t xml:space="preserve">YM16E01015P2-001</t>
  </si>
  <si>
    <t xml:space="preserve">4408315-001</t>
  </si>
  <si>
    <t xml:space="preserve">2089797550//01</t>
  </si>
  <si>
    <t xml:space="preserve">HARNESS (Air Con)</t>
  </si>
  <si>
    <t xml:space="preserve">LV13E01088P1-001</t>
  </si>
  <si>
    <t xml:space="preserve">3319048740-000</t>
  </si>
  <si>
    <t xml:space="preserve">3319448920-000</t>
  </si>
  <si>
    <t xml:space="preserve">YA00101465-000</t>
  </si>
  <si>
    <t xml:space="preserve">KNV33132-00</t>
  </si>
  <si>
    <t xml:space="preserve">608-3320HE00</t>
  </si>
  <si>
    <t xml:space="preserve">LV13E01143P1-001</t>
  </si>
  <si>
    <t xml:space="preserve">3319048800-000</t>
  </si>
  <si>
    <t xml:space="preserve">3BA5771710//01</t>
  </si>
  <si>
    <t xml:space="preserve">LS13E01562P1-001</t>
  </si>
  <si>
    <t xml:space="preserve">LS16E01035P1-001</t>
  </si>
  <si>
    <t xml:space="preserve">3330521190-000</t>
  </si>
  <si>
    <t xml:space="preserve">LS13E01644P1-001</t>
  </si>
  <si>
    <t xml:space="preserve">3319449840-000</t>
  </si>
  <si>
    <t xml:space="preserve">42C9571220//00</t>
  </si>
  <si>
    <t xml:space="preserve">17AZ112390//02</t>
  </si>
  <si>
    <t xml:space="preserve">LV13E01086P1-002</t>
  </si>
  <si>
    <t xml:space="preserve">163409125/0-314950</t>
  </si>
  <si>
    <t xml:space="preserve">1000020991-5</t>
  </si>
  <si>
    <t xml:space="preserve">YN15E01200P1-001</t>
  </si>
  <si>
    <t xml:space="preserve">301125-74110</t>
  </si>
  <si>
    <t xml:space="preserve">P058-E306</t>
  </si>
  <si>
    <t xml:space="preserve">3BA5745750//00</t>
  </si>
  <si>
    <t xml:space="preserve">YA00092546-000</t>
  </si>
  <si>
    <t xml:space="preserve">P058-E311A</t>
  </si>
  <si>
    <t xml:space="preserve">P-EB35-1819#01-1</t>
  </si>
  <si>
    <t xml:space="preserve">1000179044-1</t>
  </si>
  <si>
    <t xml:space="preserve">21T0644951//00</t>
  </si>
  <si>
    <t xml:space="preserve">491922000/0-332090</t>
  </si>
  <si>
    <t xml:space="preserve">YN15E01216P1-001</t>
  </si>
  <si>
    <t xml:space="preserve">LC13E01615P1-001</t>
  </si>
  <si>
    <t xml:space="preserve">P058-E303A</t>
  </si>
  <si>
    <t xml:space="preserve">1950649260//00</t>
  </si>
  <si>
    <t xml:space="preserve">YA00067244-005</t>
  </si>
  <si>
    <t xml:space="preserve">HCL584F011B-F3</t>
  </si>
  <si>
    <t xml:space="preserve">21N5438290//00-M</t>
  </si>
  <si>
    <t xml:space="preserve">21N0641211//00-M</t>
  </si>
  <si>
    <t xml:space="preserve">3BA5674890//00</t>
  </si>
  <si>
    <t xml:space="preserve">K0022171-00</t>
  </si>
  <si>
    <t xml:space="preserve">632-1972HE00</t>
  </si>
  <si>
    <t xml:space="preserve">2PAF-HW-000</t>
  </si>
  <si>
    <t xml:space="preserve">コネクター</t>
  </si>
  <si>
    <t xml:space="preserve">P058-E307</t>
  </si>
  <si>
    <t xml:space="preserve">2070675270//00</t>
  </si>
  <si>
    <t xml:space="preserve">1000284053-2</t>
  </si>
  <si>
    <t xml:space="preserve">8D10E01749P1-1</t>
  </si>
  <si>
    <t xml:space="preserve">4655717-002.</t>
  </si>
  <si>
    <t xml:space="preserve">1000441214-1</t>
  </si>
  <si>
    <t xml:space="preserve">2030611530//01</t>
  </si>
  <si>
    <t xml:space="preserve">EB11E01074P2-001</t>
  </si>
  <si>
    <t xml:space="preserve">1000168220-2</t>
  </si>
  <si>
    <t xml:space="preserve">YA00059070-000</t>
  </si>
  <si>
    <t xml:space="preserve">AVS1.25-Y/B</t>
  </si>
  <si>
    <t xml:space="preserve">HP0150K011#02-3</t>
  </si>
  <si>
    <t xml:space="preserve">YY11E01047DD-009</t>
  </si>
  <si>
    <t xml:space="preserve">1000350413-3</t>
  </si>
  <si>
    <t xml:space="preserve">YB73S00001P1-001</t>
  </si>
  <si>
    <t xml:space="preserve">スローブローヒューズ</t>
  </si>
  <si>
    <t xml:space="preserve">YJ00007657-000</t>
  </si>
  <si>
    <t xml:space="preserve">KRR22720-00</t>
  </si>
  <si>
    <t xml:space="preserve">LS15E01182P1-001</t>
  </si>
  <si>
    <t xml:space="preserve">580-3368HE00</t>
  </si>
  <si>
    <t xml:space="preserve">YN13E01276P2-001</t>
  </si>
  <si>
    <t xml:space="preserve">628-8678HE00</t>
  </si>
  <si>
    <t xml:space="preserve">21N0641410//01</t>
  </si>
  <si>
    <t xml:space="preserve">YA00024159-004</t>
  </si>
  <si>
    <t xml:space="preserve">9F10E01999P1-2</t>
  </si>
  <si>
    <t xml:space="preserve">42CZ898710//00</t>
  </si>
  <si>
    <t xml:space="preserve">58F26-M3352</t>
  </si>
  <si>
    <r>
      <rPr>
        <sz val="10"/>
        <rFont val="Noto Sans CJK SC"/>
        <family val="2"/>
      </rPr>
      <t xml:space="preserve">ＷＩＲＥ　ＨＡＲＮＥＳＳ </t>
    </r>
    <r>
      <rPr>
        <sz val="10"/>
        <rFont val="Arial"/>
        <family val="0"/>
        <charset val="1"/>
      </rPr>
      <t xml:space="preserve">LAMP</t>
    </r>
  </si>
  <si>
    <t xml:space="preserve">JD80E01079P1-001</t>
  </si>
  <si>
    <t xml:space="preserve">P058-E304A</t>
  </si>
  <si>
    <t xml:space="preserve">3108371-003</t>
  </si>
  <si>
    <t xml:space="preserve">P058-E308A</t>
  </si>
  <si>
    <t xml:space="preserve">LV15E01103P2-001</t>
  </si>
  <si>
    <t xml:space="preserve">263E2-42041A.</t>
  </si>
  <si>
    <t xml:space="preserve">5G321-56321-0</t>
  </si>
  <si>
    <t xml:space="preserve">3319049410-000</t>
  </si>
  <si>
    <t xml:space="preserve">YA00088225-000</t>
  </si>
  <si>
    <t xml:space="preserve">P058-E302A</t>
  </si>
  <si>
    <t xml:space="preserve">KSPE1752672B-000</t>
  </si>
  <si>
    <t xml:space="preserve">ﾀｰﾐﾅﾙ</t>
  </si>
  <si>
    <t xml:space="preserve">YJ00009195-000</t>
  </si>
  <si>
    <t xml:space="preserve">06842-00584-00</t>
  </si>
  <si>
    <t xml:space="preserve">135609026/1-30287A</t>
  </si>
  <si>
    <t xml:space="preserve">YF13E01147P1-001</t>
  </si>
  <si>
    <t xml:space="preserve">P-EB35-997#01-4</t>
  </si>
  <si>
    <r>
      <rPr>
        <sz val="10"/>
        <rFont val="Arial"/>
        <family val="0"/>
        <charset val="1"/>
      </rPr>
      <t xml:space="preserve">WIREING </t>
    </r>
    <r>
      <rPr>
        <sz val="10"/>
        <rFont val="Noto Sans CJK SC"/>
        <family val="2"/>
      </rPr>
      <t xml:space="preserve">ＨＡＲＮＥＳＳ</t>
    </r>
  </si>
  <si>
    <t xml:space="preserve">3319444310-000</t>
  </si>
  <si>
    <t xml:space="preserve">1980686181//02</t>
  </si>
  <si>
    <t xml:space="preserve">2070684830//00</t>
  </si>
  <si>
    <t xml:space="preserve">LC11E01134P1-001</t>
  </si>
  <si>
    <t xml:space="preserve">P-EB35-968#02-4</t>
  </si>
  <si>
    <t xml:space="preserve">9E10E02007P1-4</t>
  </si>
  <si>
    <t xml:space="preserve">KHR53180-00</t>
  </si>
  <si>
    <t xml:space="preserve">28C02-42041A</t>
  </si>
  <si>
    <t xml:space="preserve">A24A230906-0000-1</t>
  </si>
  <si>
    <t xml:space="preserve">YY15E01068P1-001</t>
  </si>
  <si>
    <t xml:space="preserve">LV13E01085P1-001</t>
  </si>
  <si>
    <t xml:space="preserve">YA00077612-000</t>
  </si>
  <si>
    <t xml:space="preserve">KHR69740-00</t>
  </si>
  <si>
    <t xml:space="preserve">1000284822-2</t>
  </si>
  <si>
    <t xml:space="preserve">2070682134//01</t>
  </si>
  <si>
    <t xml:space="preserve">1000091829-2</t>
  </si>
  <si>
    <t xml:space="preserve">K0022146-03</t>
  </si>
  <si>
    <t xml:space="preserve">P-EB35-1243#01-2</t>
  </si>
  <si>
    <t xml:space="preserve">LS11E01152P1-001</t>
  </si>
  <si>
    <t xml:space="preserve">301127-41110</t>
  </si>
  <si>
    <t xml:space="preserve">YY11E01455P1-001</t>
  </si>
  <si>
    <t xml:space="preserve">6189-0900-000</t>
  </si>
  <si>
    <t xml:space="preserve">ハウジング</t>
  </si>
  <si>
    <t xml:space="preserve">LQ15E01146P1-001</t>
  </si>
  <si>
    <t xml:space="preserve">58L37-52003</t>
  </si>
  <si>
    <t xml:space="preserve">A24A2509R0-0000</t>
  </si>
  <si>
    <t xml:space="preserve">P-EB35-1821#01-1</t>
  </si>
  <si>
    <t xml:space="preserve">4387120190-002</t>
  </si>
  <si>
    <t xml:space="preserve">P-EB35-996#01-7</t>
  </si>
  <si>
    <t xml:space="preserve">LS13E01435P1-001</t>
  </si>
  <si>
    <t xml:space="preserve">YY11E01214P3-001</t>
  </si>
  <si>
    <t xml:space="preserve">LC11E01143P1-001</t>
  </si>
  <si>
    <t xml:space="preserve">1000091764-2</t>
  </si>
  <si>
    <t xml:space="preserve">3319451200-000</t>
  </si>
  <si>
    <t xml:space="preserve">3319449170-000</t>
  </si>
  <si>
    <t xml:space="preserve">KHR38470-00</t>
  </si>
  <si>
    <t xml:space="preserve">290S2-42041B</t>
  </si>
  <si>
    <t xml:space="preserve">P-EB35-971#02-3</t>
  </si>
  <si>
    <t xml:space="preserve">YN13E02090P1-001</t>
  </si>
  <si>
    <t xml:space="preserve">23C0762631//01</t>
  </si>
  <si>
    <t xml:space="preserve">HCL584F040B-D2</t>
  </si>
  <si>
    <t xml:space="preserve">4710591-000</t>
  </si>
  <si>
    <t xml:space="preserve">PLUG</t>
  </si>
  <si>
    <t xml:space="preserve">YA00066936-002</t>
  </si>
  <si>
    <t xml:space="preserve">4710612-000</t>
  </si>
  <si>
    <t xml:space="preserve">P058-E305A</t>
  </si>
  <si>
    <t xml:space="preserve">P058-E310</t>
  </si>
  <si>
    <t xml:space="preserve">LP13E01141P1-001</t>
  </si>
  <si>
    <t xml:space="preserve">KHR16112-00</t>
  </si>
  <si>
    <t xml:space="preserve">P058-E301A</t>
  </si>
  <si>
    <t xml:space="preserve">9L10E01756P1-2</t>
  </si>
  <si>
    <t xml:space="preserve">17M0642110//04</t>
  </si>
  <si>
    <t xml:space="preserve">3319452570-000</t>
  </si>
  <si>
    <t xml:space="preserve">58L37-22401</t>
  </si>
  <si>
    <t xml:space="preserve">LC15E01218P1-002</t>
  </si>
  <si>
    <t xml:space="preserve">P-EB35-1369#09-7</t>
  </si>
  <si>
    <t xml:space="preserve">K0022145-03</t>
  </si>
  <si>
    <t xml:space="preserve">LP13E01074P1-001</t>
  </si>
  <si>
    <t xml:space="preserve">1000359546-1</t>
  </si>
  <si>
    <t xml:space="preserve">EB13E01029P1-001</t>
  </si>
  <si>
    <t xml:space="preserve">LQ13E01502P2-001</t>
  </si>
  <si>
    <t xml:space="preserve">YA00077143-000</t>
  </si>
  <si>
    <t xml:space="preserve">2060683360//00</t>
  </si>
  <si>
    <t xml:space="preserve">P-EB35-995#01-13</t>
  </si>
  <si>
    <t xml:space="preserve">YY13E01472P1-001</t>
  </si>
  <si>
    <t xml:space="preserve">135609037/0-303280</t>
  </si>
  <si>
    <t xml:space="preserve">135609038/0-303290</t>
  </si>
  <si>
    <t xml:space="preserve">LS15E01177P1-002</t>
  </si>
  <si>
    <t xml:space="preserve">P-EB35-1383#01-6</t>
  </si>
  <si>
    <t xml:space="preserve">K0022143-01</t>
  </si>
  <si>
    <t xml:space="preserve">17M0649221//01</t>
  </si>
  <si>
    <t xml:space="preserve">21T0634980//00</t>
  </si>
  <si>
    <t xml:space="preserve">KHR1586E-00</t>
  </si>
  <si>
    <t xml:space="preserve">K0018906-00</t>
  </si>
  <si>
    <t xml:space="preserve">LS11E01205P1-001</t>
  </si>
  <si>
    <t xml:space="preserve">P-EB35-1397#01-3</t>
  </si>
  <si>
    <t xml:space="preserve">YA00044773-000</t>
  </si>
  <si>
    <t xml:space="preserve">CONNECTOR</t>
  </si>
  <si>
    <t xml:space="preserve">1540671131//02</t>
  </si>
  <si>
    <t xml:space="preserve">YN11E01466P1-001</t>
  </si>
  <si>
    <t xml:space="preserve">58L38-92101-1</t>
  </si>
  <si>
    <t xml:space="preserve">20Y0683420//00</t>
  </si>
  <si>
    <t xml:space="preserve">4651340-003</t>
  </si>
  <si>
    <t xml:space="preserve">144809040/0-307770</t>
  </si>
  <si>
    <t xml:space="preserve">EC11E01088P2-001</t>
  </si>
  <si>
    <t xml:space="preserve">08028CC065//00</t>
  </si>
  <si>
    <t xml:space="preserve">郷商事㈱</t>
  </si>
  <si>
    <t xml:space="preserve">21T0643110//00</t>
  </si>
  <si>
    <t xml:space="preserve">YA00038697-001</t>
  </si>
  <si>
    <t xml:space="preserve">290S2-42061AAA</t>
  </si>
  <si>
    <t xml:space="preserve">YY11E01404P1-001</t>
  </si>
  <si>
    <t xml:space="preserve">AVS1.25-B/R</t>
  </si>
  <si>
    <t xml:space="preserve">A81D1G0901-0000</t>
  </si>
  <si>
    <t xml:space="preserve">42C5612580//00</t>
  </si>
  <si>
    <r>
      <rPr>
        <sz val="10"/>
        <rFont val="Arial"/>
        <family val="0"/>
        <charset val="1"/>
      </rPr>
      <t xml:space="preserve">WIRING</t>
    </r>
    <r>
      <rPr>
        <sz val="10"/>
        <rFont val="Noto Sans CJK SC"/>
        <family val="2"/>
      </rPr>
      <t xml:space="preserve">　</t>
    </r>
    <r>
      <rPr>
        <sz val="10"/>
        <rFont val="Arial"/>
        <family val="0"/>
        <charset val="1"/>
      </rPr>
      <t xml:space="preserve">HARENSS</t>
    </r>
  </si>
  <si>
    <t xml:space="preserve">M994-175000</t>
  </si>
  <si>
    <t xml:space="preserve">K0021838-00</t>
  </si>
  <si>
    <t xml:space="preserve">K0015997-00</t>
  </si>
  <si>
    <t xml:space="preserve">LC11E01133P1-001</t>
  </si>
  <si>
    <t xml:space="preserve">YN11E01292P1-001</t>
  </si>
  <si>
    <t xml:space="preserve">0821101920//00</t>
  </si>
  <si>
    <t xml:space="preserve">1000358865-1</t>
  </si>
  <si>
    <t xml:space="preserve">KTV24131-00</t>
  </si>
  <si>
    <t xml:space="preserve">3319447780-000</t>
  </si>
  <si>
    <t xml:space="preserve">LV15E01068P1-002</t>
  </si>
  <si>
    <t xml:space="preserve">YF15E01036P1-002</t>
  </si>
  <si>
    <t xml:space="preserve">618-6811HE00</t>
  </si>
  <si>
    <t xml:space="preserve">LQ13E01425P1-001</t>
  </si>
  <si>
    <t xml:space="preserve">8A10E01604P1-2</t>
  </si>
  <si>
    <t xml:space="preserve">YN11E01529P1-002</t>
  </si>
  <si>
    <t xml:space="preserve">LS13E01648P1-001</t>
  </si>
  <si>
    <t xml:space="preserve">144809021/0-30554A-1</t>
  </si>
  <si>
    <t xml:space="preserve">YA00004484-001</t>
  </si>
  <si>
    <t xml:space="preserve">YX11E01024P1-001</t>
  </si>
  <si>
    <t xml:space="preserve">YB15E01007P1-001</t>
  </si>
  <si>
    <t xml:space="preserve">1955746921//00</t>
  </si>
  <si>
    <t xml:space="preserve">YN11E01345P1-001</t>
  </si>
  <si>
    <t xml:space="preserve">62J1712223-000</t>
  </si>
  <si>
    <t xml:space="preserve">K3630000160</t>
  </si>
  <si>
    <r>
      <rPr>
        <sz val="10"/>
        <rFont val="Noto Sans CJK SC"/>
        <family val="2"/>
      </rPr>
      <t xml:space="preserve">ヒュージブルリンク</t>
    </r>
    <r>
      <rPr>
        <sz val="10"/>
        <rFont val="Arial"/>
        <family val="0"/>
        <charset val="1"/>
      </rPr>
      <t xml:space="preserve">30A</t>
    </r>
  </si>
  <si>
    <t xml:space="preserve">4702329-000</t>
  </si>
  <si>
    <t xml:space="preserve">P-EB35-1708#01-1</t>
  </si>
  <si>
    <t xml:space="preserve">LV15E01123P1-001</t>
  </si>
  <si>
    <t xml:space="preserve">LS16E01053P1-001</t>
  </si>
  <si>
    <t xml:space="preserve">YA00064373-000</t>
  </si>
  <si>
    <t xml:space="preserve">LQ15E01054P1-001</t>
  </si>
  <si>
    <t xml:space="preserve">KHR16122-00.</t>
  </si>
  <si>
    <t xml:space="preserve">3319040570-000</t>
  </si>
  <si>
    <t xml:space="preserve">263E2-42021.</t>
  </si>
  <si>
    <t xml:space="preserve">42CZ898771//00</t>
  </si>
  <si>
    <t xml:space="preserve">563A242441-001</t>
  </si>
  <si>
    <t xml:space="preserve">1000063825-3</t>
  </si>
  <si>
    <t xml:space="preserve">YA00017766-000</t>
  </si>
  <si>
    <t xml:space="preserve">YZ54E01002P1-001</t>
  </si>
  <si>
    <t xml:space="preserve">KHR58090-00</t>
  </si>
  <si>
    <t xml:space="preserve">K0018455-00</t>
  </si>
  <si>
    <t xml:space="preserve">8A10E01212P1-1</t>
  </si>
  <si>
    <t xml:space="preserve">HCL584F040C-D2</t>
  </si>
  <si>
    <t xml:space="preserve">LV02E01003P1-001</t>
  </si>
  <si>
    <t xml:space="preserve">YN13E01650P1-001</t>
  </si>
  <si>
    <t xml:space="preserve">8260061712//02</t>
  </si>
  <si>
    <t xml:space="preserve">K0018829-00</t>
  </si>
  <si>
    <t xml:space="preserve">290S2-42051B</t>
  </si>
  <si>
    <t xml:space="preserve">263A2-42171A</t>
  </si>
  <si>
    <t xml:space="preserve">Y418279-001</t>
  </si>
  <si>
    <t xml:space="preserve">3319447770-000</t>
  </si>
  <si>
    <t xml:space="preserve">YA00010455-000</t>
  </si>
  <si>
    <t xml:space="preserve">1000365584-2</t>
  </si>
  <si>
    <t xml:space="preserve">P-EB35-968#04-4</t>
  </si>
  <si>
    <t xml:space="preserve">0802845045//00</t>
  </si>
  <si>
    <t xml:space="preserve">YA00085457-000</t>
  </si>
  <si>
    <t xml:space="preserve">ADMN4A09Z1-0000</t>
  </si>
  <si>
    <t xml:space="preserve">LC13E01609P1-001</t>
  </si>
  <si>
    <t xml:space="preserve">427S055860//00</t>
  </si>
  <si>
    <t xml:space="preserve">LS15E01184P1-001</t>
  </si>
  <si>
    <t xml:space="preserve">3319436060-000</t>
  </si>
  <si>
    <t xml:space="preserve">3319453540-000</t>
  </si>
  <si>
    <t xml:space="preserve">4660321-000</t>
  </si>
  <si>
    <t xml:space="preserve">6440-0128-000</t>
  </si>
  <si>
    <t xml:space="preserve">589-1768HE00</t>
  </si>
  <si>
    <t xml:space="preserve">YY11E01236P1-001</t>
  </si>
  <si>
    <t xml:space="preserve">4FA-JM2-000</t>
  </si>
  <si>
    <t xml:space="preserve">YN13E02236P1-001</t>
  </si>
  <si>
    <t xml:space="preserve">LQ11E01175P1-001</t>
  </si>
  <si>
    <t xml:space="preserve">A24A230903-0000</t>
  </si>
  <si>
    <t xml:space="preserve">3672421210-002</t>
  </si>
  <si>
    <t xml:space="preserve">42C0614480//00</t>
  </si>
  <si>
    <t xml:space="preserve">3120386-002</t>
  </si>
  <si>
    <t xml:space="preserve">YA00043976-001</t>
  </si>
  <si>
    <t xml:space="preserve">YA00024051-001</t>
  </si>
  <si>
    <t xml:space="preserve">P-EB35-958#01-5</t>
  </si>
  <si>
    <t xml:space="preserve">YN15E01197P1-001</t>
  </si>
  <si>
    <t xml:space="preserve">K0022987-01</t>
  </si>
  <si>
    <t xml:space="preserve">YF15E01042P1-001</t>
  </si>
  <si>
    <t xml:space="preserve">LV13E01373P1-002</t>
  </si>
  <si>
    <t xml:space="preserve">YA00044369-002</t>
  </si>
  <si>
    <t xml:space="preserve">LQ15E01068P1-001</t>
  </si>
  <si>
    <t xml:space="preserve">YJ00007652-000</t>
  </si>
  <si>
    <t xml:space="preserve">28E06-82101</t>
  </si>
  <si>
    <t xml:space="preserve">YY54E01036P1-001</t>
  </si>
  <si>
    <t xml:space="preserve">3319451210-000</t>
  </si>
  <si>
    <t xml:space="preserve">3319448010-000</t>
  </si>
  <si>
    <t xml:space="preserve">1000178895-1</t>
  </si>
  <si>
    <t xml:space="preserve">P-EB35-1768#05-2</t>
  </si>
  <si>
    <t xml:space="preserve">1980663170//00</t>
  </si>
  <si>
    <t xml:space="preserve">58L39-W2401</t>
  </si>
  <si>
    <t xml:space="preserve">42C0614490//00</t>
  </si>
  <si>
    <t xml:space="preserve">1000295853-1</t>
  </si>
  <si>
    <t xml:space="preserve">1950648110//01</t>
  </si>
  <si>
    <t xml:space="preserve">P-EB35-1617#02-3</t>
  </si>
  <si>
    <t xml:space="preserve">263E2-42051</t>
  </si>
  <si>
    <t xml:space="preserve">YY11E01454P1-001</t>
  </si>
  <si>
    <t xml:space="preserve">P-EB35-1257#02-3</t>
  </si>
  <si>
    <t xml:space="preserve">1000266150-2</t>
  </si>
  <si>
    <t xml:space="preserve">P-EB35-929#04-7</t>
  </si>
  <si>
    <t xml:space="preserve">P-EB35-945#04-10</t>
  </si>
  <si>
    <t xml:space="preserve">1000266123-2</t>
  </si>
  <si>
    <t xml:space="preserve">YA00012089-000</t>
  </si>
  <si>
    <t xml:space="preserve">1950654270//00</t>
  </si>
  <si>
    <t xml:space="preserve">YN11E01558P1-003</t>
  </si>
  <si>
    <t xml:space="preserve">4387120700-001</t>
  </si>
  <si>
    <t xml:space="preserve">3319453210-000</t>
  </si>
  <si>
    <t xml:space="preserve">LS11E01231P1-001</t>
  </si>
  <si>
    <t xml:space="preserve">1540674350//00</t>
  </si>
  <si>
    <t xml:space="preserve">1000206561-2</t>
  </si>
  <si>
    <t xml:space="preserve">1000206514-1</t>
  </si>
  <si>
    <t xml:space="preserve">LQ13E01384P1-001</t>
  </si>
  <si>
    <t xml:space="preserve">YA13E01012P1-001</t>
  </si>
  <si>
    <t xml:space="preserve">ＢＡＴＴＥＲＹ　　ＣＡＢＬＥ</t>
  </si>
  <si>
    <t xml:space="preserve">491641000/0-329280</t>
  </si>
  <si>
    <t xml:space="preserve">DIODE</t>
  </si>
  <si>
    <t xml:space="preserve">LS15E01213P1-001</t>
  </si>
  <si>
    <t xml:space="preserve">56D0626460//02</t>
  </si>
  <si>
    <t xml:space="preserve">P-EB35-996#06-7</t>
  </si>
  <si>
    <t xml:space="preserve">YA00077045-000</t>
  </si>
  <si>
    <t xml:space="preserve">YY11E01456P1-001</t>
  </si>
  <si>
    <t xml:space="preserve">8D10E01750P1-1</t>
  </si>
  <si>
    <t xml:space="preserve">YN15E01089P1-001</t>
  </si>
  <si>
    <t xml:space="preserve">YA00043429-000</t>
  </si>
  <si>
    <t xml:space="preserve">YN03M01451P1-001</t>
  </si>
  <si>
    <t xml:space="preserve">YY11E01462P1-001</t>
  </si>
  <si>
    <t xml:space="preserve">YA00004513-002</t>
  </si>
  <si>
    <t xml:space="preserve">LV15E01074P1-002</t>
  </si>
  <si>
    <t xml:space="preserve">YA00071181-000</t>
  </si>
  <si>
    <t xml:space="preserve">YA00013862-001</t>
  </si>
  <si>
    <t xml:space="preserve">KSR21040-01</t>
  </si>
  <si>
    <t xml:space="preserve">9E10E02037P1-6</t>
  </si>
  <si>
    <t xml:space="preserve">4387681-000</t>
  </si>
  <si>
    <t xml:space="preserve">LS16E01039P1-002</t>
  </si>
  <si>
    <t xml:space="preserve">1000168407-2</t>
  </si>
  <si>
    <t xml:space="preserve">LV02E01004P1-001</t>
  </si>
  <si>
    <t xml:space="preserve">1000206543-1</t>
  </si>
  <si>
    <t xml:space="preserve">7821927360//00</t>
  </si>
  <si>
    <t xml:space="preserve">ＣＯＮＮＥＣＴＯＲ</t>
  </si>
  <si>
    <t xml:space="preserve">3672421310-000</t>
  </si>
  <si>
    <t xml:space="preserve">TUBE CONDUIT</t>
  </si>
  <si>
    <t xml:space="preserve">1540671790//00</t>
  </si>
  <si>
    <t xml:space="preserve">8255064580//00</t>
  </si>
  <si>
    <t xml:space="preserve">1000168557-2</t>
  </si>
  <si>
    <t xml:space="preserve">YA00060580-002</t>
  </si>
  <si>
    <t xml:space="preserve">K0016097-01</t>
  </si>
  <si>
    <t xml:space="preserve">P-EB35-1614#01-2</t>
  </si>
  <si>
    <t xml:space="preserve">3PAF-HW-000</t>
  </si>
  <si>
    <t xml:space="preserve">ＴＥＲＭＩＮＡＬ</t>
  </si>
  <si>
    <t xml:space="preserve">HP0150K025#01-1</t>
  </si>
  <si>
    <t xml:space="preserve">3319357440-000</t>
  </si>
  <si>
    <t xml:space="preserve">K0018842-01</t>
  </si>
  <si>
    <t xml:space="preserve">YA00000548-000</t>
  </si>
  <si>
    <t xml:space="preserve">491889000/0-931760</t>
  </si>
  <si>
    <t xml:space="preserve">1000168375-1</t>
  </si>
  <si>
    <t xml:space="preserve">YM11E01014P1-001</t>
  </si>
  <si>
    <t xml:space="preserve">590S7-62521</t>
  </si>
  <si>
    <t xml:space="preserve">1000090936-2</t>
  </si>
  <si>
    <t xml:space="preserve">3319443010-001</t>
  </si>
  <si>
    <t xml:space="preserve">PY26E01001P1-001</t>
  </si>
  <si>
    <t xml:space="preserve">レジスタ</t>
  </si>
  <si>
    <t xml:space="preserve">K0016974-02</t>
  </si>
  <si>
    <t xml:space="preserve">263E2-42031.</t>
  </si>
  <si>
    <t xml:space="preserve">LN11E01003P1-001</t>
  </si>
  <si>
    <t xml:space="preserve">1000168424-1</t>
  </si>
  <si>
    <t xml:space="preserve">3319445010-000</t>
  </si>
  <si>
    <t xml:space="preserve">YN11E01772P1-001</t>
  </si>
  <si>
    <t xml:space="preserve">290S2-42071</t>
  </si>
  <si>
    <t xml:space="preserve">1000090975-2</t>
  </si>
  <si>
    <t xml:space="preserve">KRR12050-01</t>
  </si>
  <si>
    <t xml:space="preserve">P-EB35-1225#02-3</t>
  </si>
  <si>
    <t xml:space="preserve">1000168454-2</t>
  </si>
  <si>
    <t xml:space="preserve">3BA5772411//00</t>
  </si>
  <si>
    <t xml:space="preserve">1000090926-2</t>
  </si>
  <si>
    <t xml:space="preserve">YM11E01015P1-001</t>
  </si>
  <si>
    <t xml:space="preserve">3109162-000</t>
  </si>
  <si>
    <t xml:space="preserve">28E62-42051</t>
  </si>
  <si>
    <t xml:space="preserve">K0015998-00</t>
  </si>
  <si>
    <t xml:space="preserve">1000168522-1</t>
  </si>
  <si>
    <t xml:space="preserve">YY15E01029P1-001</t>
  </si>
  <si>
    <t xml:space="preserve">KHR80760-00</t>
  </si>
  <si>
    <t xml:space="preserve">YF15E01018P1-001</t>
  </si>
  <si>
    <t xml:space="preserve">3319451220-000</t>
  </si>
  <si>
    <t xml:space="preserve">YY54E01033P1-001</t>
  </si>
  <si>
    <t xml:space="preserve">141809227/0-432260</t>
  </si>
  <si>
    <t xml:space="preserve">3319454150-000</t>
  </si>
  <si>
    <t xml:space="preserve">1000168932-1</t>
  </si>
  <si>
    <t xml:space="preserve">291K2-42131</t>
  </si>
  <si>
    <t xml:space="preserve">YN72E01334P1-001</t>
  </si>
  <si>
    <t xml:space="preserve">CAP</t>
  </si>
  <si>
    <t xml:space="preserve">K3622000290</t>
  </si>
  <si>
    <r>
      <rPr>
        <sz val="10"/>
        <rFont val="Arial"/>
        <family val="0"/>
        <charset val="1"/>
      </rPr>
      <t xml:space="preserve">58</t>
    </r>
    <r>
      <rPr>
        <sz val="10"/>
        <rFont val="Noto Sans CJK SC"/>
        <family val="2"/>
      </rPr>
      <t xml:space="preserve">コネクター</t>
    </r>
    <r>
      <rPr>
        <sz val="10"/>
        <rFont val="Arial"/>
        <family val="0"/>
        <charset val="1"/>
      </rPr>
      <t xml:space="preserve">X</t>
    </r>
    <r>
      <rPr>
        <sz val="10"/>
        <rFont val="Noto Sans CJK SC"/>
        <family val="2"/>
      </rPr>
      <t xml:space="preserve">タイプ</t>
    </r>
    <r>
      <rPr>
        <sz val="10"/>
        <rFont val="Arial"/>
        <family val="0"/>
        <charset val="1"/>
      </rPr>
      <t xml:space="preserve">Assy</t>
    </r>
  </si>
  <si>
    <t xml:space="preserve">YA00045338-000</t>
  </si>
  <si>
    <t xml:space="preserve">LC11E01119P1-001</t>
  </si>
  <si>
    <t xml:space="preserve">AVS1.25-L/Y</t>
  </si>
  <si>
    <t xml:space="preserve">AVS1.25-Y/W</t>
  </si>
  <si>
    <t xml:space="preserve">AVS1.25-L/W</t>
  </si>
  <si>
    <t xml:space="preserve">3330521210-000</t>
  </si>
  <si>
    <t xml:space="preserve">LC11E01135P1-001</t>
  </si>
  <si>
    <t xml:space="preserve">LS13E01653P1-001</t>
  </si>
  <si>
    <t xml:space="preserve">LC11E01218P1-001</t>
  </si>
  <si>
    <t xml:space="preserve">YN11E01528P1-001</t>
  </si>
  <si>
    <t xml:space="preserve">1000168944-1</t>
  </si>
  <si>
    <t xml:space="preserve">563A242691-000</t>
  </si>
  <si>
    <t xml:space="preserve">28E62-42041</t>
  </si>
  <si>
    <t xml:space="preserve">8D10E01751P1-1</t>
  </si>
  <si>
    <t xml:space="preserve">YN11E01464P1-002</t>
  </si>
  <si>
    <t xml:space="preserve">9G10E02026P1-4</t>
  </si>
  <si>
    <t xml:space="preserve">598-5587HE01</t>
  </si>
  <si>
    <t xml:space="preserve">LS11E01232P1-001</t>
  </si>
  <si>
    <t xml:space="preserve">3672420900-000</t>
  </si>
  <si>
    <t xml:space="preserve">TUBE,CONDUIT</t>
  </si>
  <si>
    <t xml:space="preserve">YA00085867-000</t>
  </si>
  <si>
    <t xml:space="preserve">YJ00005612-000</t>
  </si>
  <si>
    <t xml:space="preserve">301121-55140//A</t>
  </si>
  <si>
    <t xml:space="preserve">1000172201-2</t>
  </si>
  <si>
    <t xml:space="preserve">9E10E02035P1-3</t>
  </si>
  <si>
    <t xml:space="preserve">1540671380//00</t>
  </si>
  <si>
    <t xml:space="preserve">4660902-000</t>
  </si>
  <si>
    <t xml:space="preserve">EZ01E01013P1-002</t>
  </si>
  <si>
    <t xml:space="preserve">7821927350//00</t>
  </si>
  <si>
    <t xml:space="preserve">198Z116581//01</t>
  </si>
  <si>
    <t xml:space="preserve">LC13E01803P1-002</t>
  </si>
  <si>
    <t xml:space="preserve">305131-28110</t>
  </si>
  <si>
    <t xml:space="preserve">YN13E02235P1-001</t>
  </si>
  <si>
    <t xml:space="preserve">3319442990-000</t>
  </si>
  <si>
    <t xml:space="preserve">YT02C01106P1-001.</t>
  </si>
  <si>
    <t xml:space="preserve">1950648220//00</t>
  </si>
  <si>
    <t xml:space="preserve">YY77E01075P1-001</t>
  </si>
  <si>
    <t xml:space="preserve">XV00004362-000</t>
  </si>
  <si>
    <t xml:space="preserve">TUBE CORRUGATED</t>
  </si>
  <si>
    <t xml:space="preserve">3LA5536120//00</t>
  </si>
  <si>
    <t xml:space="preserve">SWITCH A</t>
  </si>
  <si>
    <t xml:space="preserve">YN11E01465P1-001</t>
  </si>
  <si>
    <t xml:space="preserve">1540671590//00</t>
  </si>
  <si>
    <t xml:space="preserve">3330521100-001</t>
  </si>
  <si>
    <t xml:space="preserve">3330521110-002</t>
  </si>
  <si>
    <t xml:space="preserve">P-EB35-932#02-6</t>
  </si>
  <si>
    <t xml:space="preserve">1540674170//02</t>
  </si>
  <si>
    <t xml:space="preserve">KSJ25160-01</t>
  </si>
  <si>
    <t xml:space="preserve">4387170210-001</t>
  </si>
  <si>
    <t xml:space="preserve">XV00004936-000</t>
  </si>
  <si>
    <t xml:space="preserve">2MA-JM2-000</t>
  </si>
  <si>
    <t xml:space="preserve">3988070230-001</t>
  </si>
  <si>
    <t xml:space="preserve">YN11E01770P1-001</t>
  </si>
  <si>
    <t xml:space="preserve">3319442980-000</t>
  </si>
  <si>
    <t xml:space="preserve">YA00004643-000</t>
  </si>
  <si>
    <t xml:space="preserve">AVS1.25-B/W</t>
  </si>
  <si>
    <t xml:space="preserve">HM64400129//00</t>
  </si>
  <si>
    <t xml:space="preserve">3319446750-000</t>
  </si>
  <si>
    <t xml:space="preserve">YA00060567-002</t>
  </si>
  <si>
    <t xml:space="preserve">YY11E01419P1-001</t>
  </si>
  <si>
    <t xml:space="preserve">CTB-3-000</t>
  </si>
  <si>
    <t xml:space="preserve">バー</t>
  </si>
  <si>
    <t xml:space="preserve">LC11E01126P1-001</t>
  </si>
  <si>
    <t xml:space="preserve">YY13E01292P1-001</t>
  </si>
  <si>
    <t xml:space="preserve">YN11E01269P2-001</t>
  </si>
  <si>
    <t xml:space="preserve">LC53E01004P1-001</t>
  </si>
  <si>
    <t xml:space="preserve">YJ00007665-001</t>
  </si>
  <si>
    <t xml:space="preserve">YA00060575-001</t>
  </si>
  <si>
    <t xml:space="preserve">P-EB36-590#03-2</t>
  </si>
  <si>
    <t xml:space="preserve">YA00115361-000</t>
  </si>
  <si>
    <t xml:space="preserve">3672421050-000</t>
  </si>
  <si>
    <t xml:space="preserve">YA00060576-001</t>
  </si>
  <si>
    <t xml:space="preserve">20Y0682141//01</t>
  </si>
  <si>
    <t xml:space="preserve">20Y0682140//00</t>
  </si>
  <si>
    <t xml:space="preserve">YY11E01235P1-001</t>
  </si>
  <si>
    <t xml:space="preserve">4406980-001</t>
  </si>
  <si>
    <t xml:space="preserve">263G2-42281A</t>
  </si>
  <si>
    <t xml:space="preserve">3672421130-000</t>
  </si>
  <si>
    <t xml:space="preserve">03343-00152-00</t>
  </si>
  <si>
    <t xml:space="preserve">P-EB35-1286#01-5</t>
  </si>
  <si>
    <t xml:space="preserve">141809033/0-405260</t>
  </si>
  <si>
    <t xml:space="preserve">3BA5772320//01</t>
  </si>
  <si>
    <t xml:space="preserve">0819110808//00</t>
  </si>
  <si>
    <t xml:space="preserve">NUT</t>
  </si>
  <si>
    <t xml:space="preserve">HM64400128//00</t>
  </si>
  <si>
    <t xml:space="preserve">P-EB35-934#03-5</t>
  </si>
  <si>
    <t xml:space="preserve">06842-00590-00</t>
  </si>
  <si>
    <t xml:space="preserve">3330521030-001</t>
  </si>
  <si>
    <t xml:space="preserve">632-2754HE00</t>
  </si>
  <si>
    <t xml:space="preserve">AVS1.25-B/Y</t>
  </si>
  <si>
    <t xml:space="preserve">3BA5551830//00</t>
  </si>
  <si>
    <t xml:space="preserve">YY15E01062P1-001</t>
  </si>
  <si>
    <t xml:space="preserve">3672421040-000</t>
  </si>
  <si>
    <t xml:space="preserve">P-EB35-1257#03-3</t>
  </si>
  <si>
    <t xml:space="preserve">YA00072278-001</t>
  </si>
  <si>
    <t xml:space="preserve">YN52E01033P1-001</t>
  </si>
  <si>
    <t xml:space="preserve">P-EB36-592-2</t>
  </si>
  <si>
    <t xml:space="preserve">ターミナル</t>
  </si>
  <si>
    <t xml:space="preserve">6440-0129-000</t>
  </si>
  <si>
    <t xml:space="preserve">4363914-001</t>
  </si>
  <si>
    <t xml:space="preserve">22B0623121//01</t>
  </si>
  <si>
    <t xml:space="preserve">3330520990-001</t>
  </si>
  <si>
    <t xml:space="preserve">YY13E01512P1-001</t>
  </si>
  <si>
    <t xml:space="preserve">P-EB35-1654#01-3</t>
  </si>
  <si>
    <t xml:space="preserve">4415891-001</t>
  </si>
  <si>
    <t xml:space="preserve">K0018653-00</t>
  </si>
  <si>
    <t xml:space="preserve">YM11E01016P1-001</t>
  </si>
  <si>
    <t xml:space="preserve">K0016101-00</t>
  </si>
  <si>
    <t xml:space="preserve">281-3395- 03</t>
  </si>
  <si>
    <t xml:space="preserve">YA01E01001P1-004</t>
  </si>
  <si>
    <r>
      <rPr>
        <sz val="10"/>
        <rFont val="Arial"/>
        <family val="0"/>
        <charset val="1"/>
      </rPr>
      <t xml:space="preserve">TERMINAL</t>
    </r>
    <r>
      <rPr>
        <sz val="10"/>
        <rFont val="Noto Sans CJK SC"/>
        <family val="2"/>
      </rPr>
      <t xml:space="preserve">（バッテリー用ターミナル）</t>
    </r>
  </si>
  <si>
    <t xml:space="preserve">0801730703//00</t>
  </si>
  <si>
    <t xml:space="preserve">CONDUIT</t>
  </si>
  <si>
    <t xml:space="preserve">YA01E01002P1-003</t>
  </si>
  <si>
    <t xml:space="preserve">0819110809//00</t>
  </si>
  <si>
    <t xml:space="preserve">WASHER</t>
  </si>
  <si>
    <t xml:space="preserve">08017C1043//00</t>
  </si>
  <si>
    <t xml:space="preserve">1000191715-1</t>
  </si>
  <si>
    <t xml:space="preserve">TAG TUBE</t>
  </si>
  <si>
    <t xml:space="preserve">P-EB35-968#03-4</t>
  </si>
  <si>
    <t xml:space="preserve">YA00013780-000</t>
  </si>
  <si>
    <t xml:space="preserve">648-4513HE00</t>
  </si>
  <si>
    <t xml:space="preserve">HM64090075//00</t>
  </si>
  <si>
    <t xml:space="preserve">4666449-002</t>
  </si>
  <si>
    <t xml:space="preserve">KHR40740-00</t>
  </si>
  <si>
    <t xml:space="preserve">4457965-001</t>
  </si>
  <si>
    <t xml:space="preserve">3672421060-000</t>
  </si>
  <si>
    <t xml:space="preserve">1950672760//00</t>
  </si>
  <si>
    <t xml:space="preserve">ＰＬＡＴＥ</t>
  </si>
  <si>
    <t xml:space="preserve">3010160021-000</t>
  </si>
  <si>
    <t xml:space="preserve">4377992-001</t>
  </si>
  <si>
    <t xml:space="preserve">3672420330-000</t>
  </si>
  <si>
    <t xml:space="preserve">3672421290-000</t>
  </si>
  <si>
    <t xml:space="preserve">XV00005921-000</t>
  </si>
  <si>
    <t xml:space="preserve">K0018709-00</t>
  </si>
  <si>
    <t xml:space="preserve">24100J18668S24-001</t>
  </si>
  <si>
    <t xml:space="preserve">3BA5551910//00</t>
  </si>
  <si>
    <t xml:space="preserve">7322200100-001</t>
  </si>
  <si>
    <t xml:space="preserve">3672470040-000</t>
  </si>
  <si>
    <t xml:space="preserve">3988020190-000</t>
  </si>
  <si>
    <t xml:space="preserve">7321200100-000</t>
  </si>
  <si>
    <r>
      <rPr>
        <b val="true"/>
        <sz val="13"/>
        <color rgb="FF1F3864"/>
        <rFont val="Arial"/>
        <family val="0"/>
        <charset val="1"/>
      </rPr>
      <t xml:space="preserve">⑤2026</t>
    </r>
    <r>
      <rPr>
        <b val="true"/>
        <sz val="13"/>
        <color rgb="FF1F3864"/>
        <rFont val="Noto Sans CJK SC"/>
        <family val="2"/>
      </rPr>
      <t xml:space="preserve">年</t>
    </r>
    <r>
      <rPr>
        <b val="true"/>
        <sz val="13"/>
        <color rgb="FF1F3864"/>
        <rFont val="Arial"/>
        <family val="0"/>
        <charset val="1"/>
      </rPr>
      <t xml:space="preserve">7</t>
    </r>
    <r>
      <rPr>
        <b val="true"/>
        <sz val="13"/>
        <color rgb="FF1F3864"/>
        <rFont val="Noto Sans CJK SC"/>
        <family val="2"/>
      </rPr>
      <t xml:space="preserve">月度実績　</t>
    </r>
    <r>
      <rPr>
        <b val="true"/>
        <sz val="13"/>
        <color rgb="FF1F3864"/>
        <rFont val="Arial"/>
        <family val="0"/>
        <charset val="1"/>
      </rPr>
      <t xml:space="preserve">BEE</t>
    </r>
    <r>
      <rPr>
        <b val="true"/>
        <sz val="13"/>
        <color rgb="FF1F3864"/>
        <rFont val="Noto Sans CJK SC"/>
        <family val="2"/>
      </rPr>
      <t xml:space="preserve">　利益額（絶対額）ワースト</t>
    </r>
    <r>
      <rPr>
        <b val="true"/>
        <sz val="13"/>
        <color rgb="FF1F3864"/>
        <rFont val="Arial"/>
        <family val="0"/>
        <charset val="1"/>
      </rPr>
      <t xml:space="preserve">20</t>
    </r>
  </si>
  <si>
    <r>
      <rPr>
        <i val="true"/>
        <sz val="8.5"/>
        <color rgb="FF666666"/>
        <rFont val="Noto Sans CJK SC"/>
        <family val="2"/>
      </rPr>
      <t xml:space="preserve">出所：７月度日本建機顧客別</t>
    </r>
    <r>
      <rPr>
        <i val="true"/>
        <sz val="8.5"/>
        <color rgb="FF666666"/>
        <rFont val="Arial"/>
        <family val="0"/>
        <charset val="1"/>
      </rPr>
      <t xml:space="preserve">_</t>
    </r>
    <r>
      <rPr>
        <i val="true"/>
        <sz val="8.5"/>
        <color rgb="FF666666"/>
        <rFont val="Noto Sans CJK SC"/>
        <family val="2"/>
      </rPr>
      <t xml:space="preserve">モデル別利益</t>
    </r>
    <r>
      <rPr>
        <i val="true"/>
        <sz val="8.5"/>
        <color rgb="FF666666"/>
        <rFont val="Arial"/>
        <family val="0"/>
        <charset val="1"/>
      </rPr>
      <t xml:space="preserve">.xlsx</t>
    </r>
    <r>
      <rPr>
        <i val="true"/>
        <sz val="8.5"/>
        <color rgb="FF666666"/>
        <rFont val="Noto Sans CJK SC"/>
        <family val="2"/>
      </rPr>
      <t xml:space="preserve">（</t>
    </r>
    <r>
      <rPr>
        <i val="true"/>
        <sz val="8.5"/>
        <color rgb="FF666666"/>
        <rFont val="Arial"/>
        <family val="0"/>
        <charset val="1"/>
      </rPr>
      <t xml:space="preserve">Export</t>
    </r>
    <r>
      <rPr>
        <i val="true"/>
        <sz val="8.5"/>
        <color rgb="FF666666"/>
        <rFont val="Noto Sans CJK SC"/>
        <family val="2"/>
      </rPr>
      <t xml:space="preserve">シート）。品目コード</t>
    </r>
    <r>
      <rPr>
        <i val="true"/>
        <sz val="8.5"/>
        <color rgb="FF666666"/>
        <rFont val="Arial"/>
        <family val="0"/>
        <charset val="1"/>
      </rPr>
      <t xml:space="preserve">(</t>
    </r>
    <r>
      <rPr>
        <i val="true"/>
        <sz val="8.5"/>
        <color rgb="FF666666"/>
        <rFont val="Noto Sans CJK SC"/>
        <family val="2"/>
      </rPr>
      <t xml:space="preserve">品番</t>
    </r>
    <r>
      <rPr>
        <i val="true"/>
        <sz val="8.5"/>
        <color rgb="FF666666"/>
        <rFont val="Arial"/>
        <family val="0"/>
        <charset val="1"/>
      </rPr>
      <t xml:space="preserve">)</t>
    </r>
    <r>
      <rPr>
        <i val="true"/>
        <sz val="8.5"/>
        <color rgb="FF666666"/>
        <rFont val="Noto Sans CJK SC"/>
        <family val="2"/>
      </rPr>
      <t xml:space="preserve">単位に集計した概算利益</t>
    </r>
    <r>
      <rPr>
        <i val="true"/>
        <sz val="8.5"/>
        <color rgb="FF666666"/>
        <rFont val="Arial"/>
        <family val="0"/>
        <charset val="1"/>
      </rPr>
      <t xml:space="preserve">(</t>
    </r>
    <r>
      <rPr>
        <i val="true"/>
        <sz val="8.5"/>
        <color rgb="FF666666"/>
        <rFont val="Noto Sans CJK SC"/>
        <family val="2"/>
      </rPr>
      <t xml:space="preserve">円</t>
    </r>
    <r>
      <rPr>
        <i val="true"/>
        <sz val="8.5"/>
        <color rgb="FF666666"/>
        <rFont val="Arial"/>
        <family val="0"/>
        <charset val="1"/>
      </rPr>
      <t xml:space="preserve">)</t>
    </r>
    <r>
      <rPr>
        <i val="true"/>
        <sz val="8.5"/>
        <color rgb="FF666666"/>
        <rFont val="Noto Sans CJK SC"/>
        <family val="2"/>
      </rPr>
      <t xml:space="preserve">が小さい順（マイナス額が大きい順）に</t>
    </r>
    <r>
      <rPr>
        <i val="true"/>
        <sz val="8.5"/>
        <color rgb="FF666666"/>
        <rFont val="Arial"/>
        <family val="0"/>
        <charset val="1"/>
      </rPr>
      <t xml:space="preserve">20</t>
    </r>
    <r>
      <rPr>
        <i val="true"/>
        <sz val="8.5"/>
        <color rgb="FF666666"/>
        <rFont val="Noto Sans CJK SC"/>
        <family val="2"/>
      </rPr>
      <t xml:space="preserve">件を抽出。利益率ワーストとは異なり、損失インパクト（金額）の大きさで優先順位付けする観点の一覧。</t>
    </r>
  </si>
  <si>
    <t xml:space="preserve">順位</t>
  </si>
  <si>
    <r>
      <rPr>
        <i val="true"/>
        <sz val="8.5"/>
        <color rgb="FF666666"/>
        <rFont val="Noto Sans CJK SC"/>
        <family val="2"/>
      </rPr>
      <t xml:space="preserve">顧客別の出現件数（品番別ワースト</t>
    </r>
    <r>
      <rPr>
        <i val="true"/>
        <sz val="8.5"/>
        <color rgb="FF666666"/>
        <rFont val="Arial"/>
        <family val="0"/>
        <charset val="1"/>
      </rPr>
      <t xml:space="preserve">20</t>
    </r>
    <r>
      <rPr>
        <i val="true"/>
        <sz val="8.5"/>
        <color rgb="FF666666"/>
        <rFont val="Noto Sans CJK SC"/>
        <family val="2"/>
      </rPr>
      <t xml:space="preserve">中）： ㈱竹内製作所 </t>
    </r>
    <r>
      <rPr>
        <i val="true"/>
        <sz val="8.5"/>
        <color rgb="FF666666"/>
        <rFont val="Arial"/>
        <family val="0"/>
        <charset val="1"/>
      </rPr>
      <t xml:space="preserve">4</t>
    </r>
    <r>
      <rPr>
        <i val="true"/>
        <sz val="8.5"/>
        <color rgb="FF666666"/>
        <rFont val="Noto Sans CJK SC"/>
        <family val="2"/>
      </rPr>
      <t xml:space="preserve">件、日立建機㈱ </t>
    </r>
    <r>
      <rPr>
        <i val="true"/>
        <sz val="8.5"/>
        <color rgb="FF666666"/>
        <rFont val="Arial"/>
        <family val="0"/>
        <charset val="1"/>
      </rPr>
      <t xml:space="preserve">2</t>
    </r>
    <r>
      <rPr>
        <i val="true"/>
        <sz val="8.5"/>
        <color rgb="FF666666"/>
        <rFont val="Noto Sans CJK SC"/>
        <family val="2"/>
      </rPr>
      <t xml:space="preserve">件、㈱イチネンアクセス（住友） </t>
    </r>
    <r>
      <rPr>
        <i val="true"/>
        <sz val="8.5"/>
        <color rgb="FF666666"/>
        <rFont val="Arial"/>
        <family val="0"/>
        <charset val="1"/>
      </rPr>
      <t xml:space="preserve">2</t>
    </r>
    <r>
      <rPr>
        <i val="true"/>
        <sz val="8.5"/>
        <color rgb="FF666666"/>
        <rFont val="Noto Sans CJK SC"/>
        <family val="2"/>
      </rPr>
      <t xml:space="preserve">件、キャタピラージャパン</t>
    </r>
    <r>
      <rPr>
        <i val="true"/>
        <sz val="8.5"/>
        <color rgb="FF666666"/>
        <rFont val="Arial"/>
        <family val="0"/>
        <charset val="1"/>
      </rPr>
      <t xml:space="preserve">(</t>
    </r>
    <r>
      <rPr>
        <i val="true"/>
        <sz val="8.5"/>
        <color rgb="FF666666"/>
        <rFont val="Noto Sans CJK SC"/>
        <family val="2"/>
      </rPr>
      <t xml:space="preserve">同） </t>
    </r>
    <r>
      <rPr>
        <i val="true"/>
        <sz val="8.5"/>
        <color rgb="FF666666"/>
        <rFont val="Arial"/>
        <family val="0"/>
        <charset val="1"/>
      </rPr>
      <t xml:space="preserve">2</t>
    </r>
    <r>
      <rPr>
        <i val="true"/>
        <sz val="8.5"/>
        <color rgb="FF666666"/>
        <rFont val="Noto Sans CJK SC"/>
        <family val="2"/>
      </rPr>
      <t xml:space="preserve">件、コベルコ大久保</t>
    </r>
    <r>
      <rPr>
        <i val="true"/>
        <sz val="8.5"/>
        <color rgb="FF666666"/>
        <rFont val="Arial"/>
        <family val="0"/>
        <charset val="1"/>
      </rPr>
      <t xml:space="preserve">P/C 2</t>
    </r>
    <r>
      <rPr>
        <i val="true"/>
        <sz val="8.5"/>
        <color rgb="FF666666"/>
        <rFont val="Noto Sans CJK SC"/>
        <family val="2"/>
      </rPr>
      <t xml:space="preserve">件、コベルコ建機㈱ </t>
    </r>
    <r>
      <rPr>
        <i val="true"/>
        <sz val="8.5"/>
        <color rgb="FF666666"/>
        <rFont val="Arial"/>
        <family val="0"/>
        <charset val="1"/>
      </rPr>
      <t xml:space="preserve">2</t>
    </r>
    <r>
      <rPr>
        <i val="true"/>
        <sz val="8.5"/>
        <color rgb="FF666666"/>
        <rFont val="Noto Sans CJK SC"/>
        <family val="2"/>
      </rPr>
      <t xml:space="preserve">件、つくば部品センタ </t>
    </r>
    <r>
      <rPr>
        <i val="true"/>
        <sz val="8.5"/>
        <color rgb="FF666666"/>
        <rFont val="Arial"/>
        <family val="0"/>
        <charset val="1"/>
      </rPr>
      <t xml:space="preserve">1</t>
    </r>
    <r>
      <rPr>
        <i val="true"/>
        <sz val="8.5"/>
        <color rgb="FF666666"/>
        <rFont val="Noto Sans CJK SC"/>
        <family val="2"/>
      </rPr>
      <t xml:space="preserve">件、なか第三　ナカダイサン </t>
    </r>
    <r>
      <rPr>
        <i val="true"/>
        <sz val="8.5"/>
        <color rgb="FF666666"/>
        <rFont val="Arial"/>
        <family val="0"/>
        <charset val="1"/>
      </rPr>
      <t xml:space="preserve">1</t>
    </r>
    <r>
      <rPr>
        <i val="true"/>
        <sz val="8.5"/>
        <color rgb="FF666666"/>
        <rFont val="Noto Sans CJK SC"/>
        <family val="2"/>
      </rPr>
      <t xml:space="preserve">件、コマツ栃木 </t>
    </r>
    <r>
      <rPr>
        <i val="true"/>
        <sz val="8.5"/>
        <color rgb="FF666666"/>
        <rFont val="Arial"/>
        <family val="0"/>
        <charset val="1"/>
      </rPr>
      <t xml:space="preserve">1</t>
    </r>
    <r>
      <rPr>
        <i val="true"/>
        <sz val="8.5"/>
        <color rgb="FF666666"/>
        <rFont val="Noto Sans CJK SC"/>
        <family val="2"/>
      </rPr>
      <t xml:space="preserve">件、</t>
    </r>
    <r>
      <rPr>
        <i val="true"/>
        <sz val="8.5"/>
        <color rgb="FF666666"/>
        <rFont val="Arial"/>
        <family val="0"/>
        <charset val="1"/>
      </rPr>
      <t xml:space="preserve">Caterpillar Inc. 1</t>
    </r>
    <r>
      <rPr>
        <i val="true"/>
        <sz val="8.5"/>
        <color rgb="FF666666"/>
        <rFont val="Noto Sans CJK SC"/>
        <family val="2"/>
      </rPr>
      <t xml:space="preserve">件、㈱日立建機ティエラ </t>
    </r>
    <r>
      <rPr>
        <i val="true"/>
        <sz val="8.5"/>
        <color rgb="FF666666"/>
        <rFont val="Arial"/>
        <family val="0"/>
        <charset val="1"/>
      </rPr>
      <t xml:space="preserve">1</t>
    </r>
    <r>
      <rPr>
        <i val="true"/>
        <sz val="8.5"/>
        <color rgb="FF666666"/>
        <rFont val="Noto Sans CJK SC"/>
        <family val="2"/>
      </rPr>
      <t xml:space="preserve">件、トーハツマリーン㈱ </t>
    </r>
    <r>
      <rPr>
        <i val="true"/>
        <sz val="8.5"/>
        <color rgb="FF666666"/>
        <rFont val="Arial"/>
        <family val="0"/>
        <charset val="1"/>
      </rPr>
      <t xml:space="preserve">1</t>
    </r>
    <r>
      <rPr>
        <i val="true"/>
        <sz val="8.5"/>
        <color rgb="FF666666"/>
        <rFont val="Noto Sans CJK SC"/>
        <family val="2"/>
      </rPr>
      <t xml:space="preserve">件</t>
    </r>
  </si>
  <si>
    <r>
      <rPr>
        <b val="true"/>
        <sz val="13"/>
        <color rgb="FF1F3864"/>
        <rFont val="Arial"/>
        <family val="0"/>
        <charset val="1"/>
      </rPr>
      <t xml:space="preserve">2026</t>
    </r>
    <r>
      <rPr>
        <b val="true"/>
        <sz val="13"/>
        <color rgb="FF1F3864"/>
        <rFont val="Noto Sans CJK SC"/>
        <family val="2"/>
      </rPr>
      <t xml:space="preserve">年</t>
    </r>
    <r>
      <rPr>
        <b val="true"/>
        <sz val="13"/>
        <color rgb="FF1F3864"/>
        <rFont val="Arial"/>
        <family val="0"/>
        <charset val="1"/>
      </rPr>
      <t xml:space="preserve">7</t>
    </r>
    <r>
      <rPr>
        <b val="true"/>
        <sz val="13"/>
        <color rgb="FF1F3864"/>
        <rFont val="Noto Sans CJK SC"/>
        <family val="2"/>
      </rPr>
      <t xml:space="preserve">月度実績　</t>
    </r>
    <r>
      <rPr>
        <b val="true"/>
        <sz val="13"/>
        <color rgb="FF1F3864"/>
        <rFont val="Arial"/>
        <family val="0"/>
        <charset val="1"/>
      </rPr>
      <t xml:space="preserve">BEE</t>
    </r>
    <r>
      <rPr>
        <b val="true"/>
        <sz val="13"/>
        <color rgb="FF1F3864"/>
        <rFont val="Noto Sans CJK SC"/>
        <family val="2"/>
      </rPr>
      <t xml:space="preserve">　顧客別　利益額（絶対額）ワースト</t>
    </r>
    <r>
      <rPr>
        <b val="true"/>
        <sz val="13"/>
        <color rgb="FF1F3864"/>
        <rFont val="Arial"/>
        <family val="0"/>
        <charset val="1"/>
      </rPr>
      <t xml:space="preserve">20</t>
    </r>
  </si>
  <si>
    <r>
      <rPr>
        <i val="true"/>
        <sz val="8.5"/>
        <color rgb="FF666666"/>
        <rFont val="Noto Sans CJK SC"/>
        <family val="2"/>
      </rPr>
      <t xml:space="preserve">出所：同上（</t>
    </r>
    <r>
      <rPr>
        <i val="true"/>
        <sz val="8.5"/>
        <color rgb="FF666666"/>
        <rFont val="Arial"/>
        <family val="0"/>
        <charset val="1"/>
      </rPr>
      <t xml:space="preserve">Export</t>
    </r>
    <r>
      <rPr>
        <i val="true"/>
        <sz val="8.5"/>
        <color rgb="FF666666"/>
        <rFont val="Noto Sans CJK SC"/>
        <family val="2"/>
      </rPr>
      <t xml:space="preserve">シート）。得意先略称（個社単位）で集計した概算利益</t>
    </r>
    <r>
      <rPr>
        <i val="true"/>
        <sz val="8.5"/>
        <color rgb="FF666666"/>
        <rFont val="Arial"/>
        <family val="0"/>
        <charset val="1"/>
      </rPr>
      <t xml:space="preserve">(</t>
    </r>
    <r>
      <rPr>
        <i val="true"/>
        <sz val="8.5"/>
        <color rgb="FF666666"/>
        <rFont val="Noto Sans CJK SC"/>
        <family val="2"/>
      </rPr>
      <t xml:space="preserve">円</t>
    </r>
    <r>
      <rPr>
        <i val="true"/>
        <sz val="8.5"/>
        <color rgb="FF666666"/>
        <rFont val="Arial"/>
        <family val="0"/>
        <charset val="1"/>
      </rPr>
      <t xml:space="preserve">)</t>
    </r>
    <r>
      <rPr>
        <i val="true"/>
        <sz val="8.5"/>
        <color rgb="FF666666"/>
        <rFont val="Noto Sans CJK SC"/>
        <family val="2"/>
      </rPr>
      <t xml:space="preserve">が小さい順に</t>
    </r>
    <r>
      <rPr>
        <i val="true"/>
        <sz val="8.5"/>
        <color rgb="FF666666"/>
        <rFont val="Arial"/>
        <family val="0"/>
        <charset val="1"/>
      </rPr>
      <t xml:space="preserve">20</t>
    </r>
    <r>
      <rPr>
        <i val="true"/>
        <sz val="8.5"/>
        <color rgb="FF666666"/>
        <rFont val="Noto Sans CJK SC"/>
        <family val="2"/>
      </rPr>
      <t xml:space="preserve">件を抽出。品番別ワーストと異なり、顧客内の黒字・赤字品番が相殺されるため、赤字（マイナス）となっているのは上位数社のみで、それ以外は黒字幅が小さい順の掲載となる。</t>
    </r>
  </si>
  <si>
    <t xml:space="preserve">㈱　電精社</t>
  </si>
  <si>
    <t xml:space="preserve">コベルコ建機日本㈱</t>
  </si>
  <si>
    <r>
      <rPr>
        <i val="true"/>
        <sz val="8.5"/>
        <color rgb="FF666666"/>
        <rFont val="Arial"/>
        <family val="0"/>
        <charset val="1"/>
      </rPr>
      <t xml:space="preserve">7</t>
    </r>
    <r>
      <rPr>
        <i val="true"/>
        <sz val="8.5"/>
        <color rgb="FF666666"/>
        <rFont val="Noto Sans CJK SC"/>
        <family val="2"/>
      </rPr>
      <t xml:space="preserve">月度に実際に赤字（利益マイナス）となった顧客は</t>
    </r>
    <r>
      <rPr>
        <i val="true"/>
        <sz val="8.5"/>
        <color rgb="FF666666"/>
        <rFont val="Arial"/>
        <family val="0"/>
        <charset val="1"/>
      </rPr>
      <t xml:space="preserve">4</t>
    </r>
    <r>
      <rPr>
        <i val="true"/>
        <sz val="8.5"/>
        <color rgb="FF666666"/>
        <rFont val="Noto Sans CJK SC"/>
        <family val="2"/>
      </rPr>
      <t xml:space="preserve">社のみ（㈱竹内製作所・神戸鈑金工業㈱・</t>
    </r>
    <r>
      <rPr>
        <i val="true"/>
        <sz val="8.5"/>
        <color rgb="FF666666"/>
        <rFont val="Arial"/>
        <family val="0"/>
        <charset val="1"/>
      </rPr>
      <t xml:space="preserve">Caterpillar Inc.</t>
    </r>
    <r>
      <rPr>
        <i val="true"/>
        <sz val="8.5"/>
        <color rgb="FF666666"/>
        <rFont val="Noto Sans CJK SC"/>
        <family val="2"/>
      </rPr>
      <t xml:space="preserve">・㈱モリタエコノス）。それ以外は黒字品番と赤字品番が顧客内で相殺され、全体としては黒字を確保している。品番別ワースト</t>
    </r>
    <r>
      <rPr>
        <i val="true"/>
        <sz val="8.5"/>
        <color rgb="FF666666"/>
        <rFont val="Arial"/>
        <family val="0"/>
        <charset val="1"/>
      </rPr>
      <t xml:space="preserve">20</t>
    </r>
    <r>
      <rPr>
        <i val="true"/>
        <sz val="8.5"/>
        <color rgb="FF666666"/>
        <rFont val="Noto Sans CJK SC"/>
        <family val="2"/>
      </rPr>
      <t xml:space="preserve">（上表）で頻出する顧客（竹内製作所・日立建機・イチネンアクセス等）でも、顧客単位で見ると黒字を維持できている点に留意。</t>
    </r>
  </si>
  <si>
    <r>
      <rPr>
        <b val="true"/>
        <sz val="13"/>
        <color rgb="FF1F3864"/>
        <rFont val="Arial"/>
        <family val="0"/>
        <charset val="1"/>
      </rPr>
      <t xml:space="preserve">④⑤BEI</t>
    </r>
    <r>
      <rPr>
        <b val="true"/>
        <sz val="13"/>
        <color rgb="FF1F3864"/>
        <rFont val="Noto Sans CJK SC"/>
        <family val="2"/>
      </rPr>
      <t xml:space="preserve">　収益性データ（モデル別利益率／利益ワースト</t>
    </r>
    <r>
      <rPr>
        <b val="true"/>
        <sz val="13"/>
        <color rgb="FF1F3864"/>
        <rFont val="Arial"/>
        <family val="0"/>
        <charset val="1"/>
      </rPr>
      <t xml:space="preserve">20</t>
    </r>
    <r>
      <rPr>
        <b val="true"/>
        <sz val="13"/>
        <color rgb="FF1F3864"/>
        <rFont val="Noto Sans CJK SC"/>
        <family val="2"/>
      </rPr>
      <t xml:space="preserve">）</t>
    </r>
  </si>
  <si>
    <r>
      <rPr>
        <i val="true"/>
        <sz val="8.5"/>
        <color rgb="FF666666"/>
        <rFont val="Noto Sans CJK SC"/>
        <family val="2"/>
      </rPr>
      <t xml:space="preserve">現時点でご提供いただいた</t>
    </r>
    <r>
      <rPr>
        <i val="true"/>
        <sz val="8.5"/>
        <color rgb="FF666666"/>
        <rFont val="Arial"/>
        <family val="0"/>
        <charset val="1"/>
      </rPr>
      <t xml:space="preserve">BEI_</t>
    </r>
    <r>
      <rPr>
        <i val="true"/>
        <sz val="8.5"/>
        <color rgb="FF666666"/>
        <rFont val="Noto Sans CJK SC"/>
        <family val="2"/>
      </rPr>
      <t xml:space="preserve">材料製品</t>
    </r>
    <r>
      <rPr>
        <i val="true"/>
        <sz val="8.5"/>
        <color rgb="FF666666"/>
        <rFont val="Arial"/>
        <family val="0"/>
        <charset val="1"/>
      </rPr>
      <t xml:space="preserve">_</t>
    </r>
    <r>
      <rPr>
        <i val="true"/>
        <sz val="8.5"/>
        <color rgb="FF666666"/>
        <rFont val="Noto Sans CJK SC"/>
        <family val="2"/>
      </rPr>
      <t xml:space="preserve">値上げ影響と価格転嫁</t>
    </r>
    <r>
      <rPr>
        <i val="true"/>
        <sz val="8.5"/>
        <color rgb="FF666666"/>
        <rFont val="Arial"/>
        <family val="0"/>
        <charset val="1"/>
      </rPr>
      <t xml:space="preserve">_2025-2026.xlsx</t>
    </r>
    <r>
      <rPr>
        <i val="true"/>
        <sz val="8.5"/>
        <color rgb="FF666666"/>
        <rFont val="Noto Sans CJK SC"/>
        <family val="2"/>
      </rPr>
      <t xml:space="preserve">には、原価・利益に関する情報が含まれていません（材料明細・製品明細は数量・金額・単価のみで、仕入原価や利益額の記載がないため、利益率の算出ができません）。</t>
    </r>
  </si>
  <si>
    <r>
      <rPr>
        <sz val="11"/>
        <color theme="1"/>
        <rFont val="Noto Sans CJK SC"/>
        <family val="2"/>
      </rPr>
      <t xml:space="preserve">・</t>
    </r>
    <r>
      <rPr>
        <sz val="11"/>
        <color theme="1"/>
        <rFont val="Calibri"/>
        <family val="2"/>
        <charset val="1"/>
      </rPr>
      <t xml:space="preserve">BEI</t>
    </r>
    <r>
      <rPr>
        <sz val="11"/>
        <color theme="1"/>
        <rFont val="Noto Sans CJK SC"/>
        <family val="2"/>
      </rPr>
      <t xml:space="preserve">の製品別・モデル別の原価（仕入原価または製造原価）データの有無を現地に確認し、入手できれば本シートに</t>
    </r>
    <r>
      <rPr>
        <sz val="11"/>
        <color theme="1"/>
        <rFont val="Calibri"/>
        <family val="2"/>
        <charset val="1"/>
      </rPr>
      <t xml:space="preserve">BEE</t>
    </r>
    <r>
      <rPr>
        <sz val="11"/>
        <color theme="1"/>
        <rFont val="Noto Sans CJK SC"/>
        <family val="2"/>
      </rPr>
      <t xml:space="preserve">同様の利益率一覧・利益ワースト</t>
    </r>
    <r>
      <rPr>
        <sz val="11"/>
        <color theme="1"/>
        <rFont val="Calibri"/>
        <family val="2"/>
        <charset val="1"/>
      </rPr>
      <t xml:space="preserve">20</t>
    </r>
    <r>
      <rPr>
        <sz val="11"/>
        <color theme="1"/>
        <rFont val="Noto Sans CJK SC"/>
        <family val="2"/>
      </rPr>
      <t xml:space="preserve">を追加可能</t>
    </r>
  </si>
  <si>
    <r>
      <rPr>
        <sz val="11"/>
        <color theme="1"/>
        <rFont val="Noto Sans CJK SC"/>
        <family val="2"/>
      </rPr>
      <t xml:space="preserve">・参考として、</t>
    </r>
    <r>
      <rPr>
        <sz val="11"/>
        <color theme="1"/>
        <rFont val="Calibri"/>
        <family val="2"/>
        <charset val="1"/>
      </rPr>
      <t xml:space="preserve">4_</t>
    </r>
    <r>
      <rPr>
        <sz val="11"/>
        <color theme="1"/>
        <rFont val="Noto Sans CJK SC"/>
        <family val="2"/>
      </rPr>
      <t xml:space="preserve">製品値上げ</t>
    </r>
    <r>
      <rPr>
        <sz val="11"/>
        <color theme="1"/>
        <rFont val="Calibri"/>
        <family val="2"/>
        <charset val="1"/>
      </rPr>
      <t xml:space="preserve">_BEI</t>
    </r>
    <r>
      <rPr>
        <sz val="11"/>
        <color theme="1"/>
        <rFont val="Noto Sans CJK SC"/>
        <family val="2"/>
      </rPr>
      <t xml:space="preserve">シートの転嫁サマリより、セグメント別の材料インパクト率と製品インパクト率のギャップ（価格転嫁の遅れ）は把握可能：二輪</t>
    </r>
    <r>
      <rPr>
        <sz val="11"/>
        <color theme="1"/>
        <rFont val="Calibri"/>
        <family val="2"/>
        <charset val="1"/>
      </rPr>
      <t xml:space="preserve">+7.0pt</t>
    </r>
    <r>
      <rPr>
        <sz val="11"/>
        <color theme="1"/>
        <rFont val="Noto Sans CJK SC"/>
        <family val="2"/>
      </rPr>
      <t xml:space="preserve">、</t>
    </r>
    <r>
      <rPr>
        <sz val="11"/>
        <color theme="1"/>
        <rFont val="Calibri"/>
        <family val="2"/>
        <charset val="1"/>
      </rPr>
      <t xml:space="preserve">HE</t>
    </r>
    <r>
      <rPr>
        <sz val="11"/>
        <color theme="1"/>
        <rFont val="Noto Sans CJK SC"/>
        <family val="2"/>
      </rPr>
      <t xml:space="preserve">輸出</t>
    </r>
    <r>
      <rPr>
        <sz val="11"/>
        <color theme="1"/>
        <rFont val="Calibri"/>
        <family val="2"/>
        <charset val="1"/>
      </rPr>
      <t xml:space="preserve">+6.0pt</t>
    </r>
    <r>
      <rPr>
        <sz val="11"/>
        <color theme="1"/>
        <rFont val="Noto Sans CJK SC"/>
        <family val="2"/>
      </rPr>
      <t xml:space="preserve">、</t>
    </r>
    <r>
      <rPr>
        <sz val="11"/>
        <color theme="1"/>
        <rFont val="Calibri"/>
        <family val="2"/>
        <charset val="1"/>
      </rPr>
      <t xml:space="preserve">HE</t>
    </r>
    <r>
      <rPr>
        <sz val="11"/>
        <color theme="1"/>
        <rFont val="Noto Sans CJK SC"/>
        <family val="2"/>
      </rPr>
      <t xml:space="preserve">国内</t>
    </r>
    <r>
      <rPr>
        <sz val="11"/>
        <color theme="1"/>
        <rFont val="Calibri"/>
        <family val="2"/>
        <charset val="1"/>
      </rPr>
      <t xml:space="preserve">+9.0pt</t>
    </r>
    <r>
      <rPr>
        <sz val="11"/>
        <color theme="1"/>
        <rFont val="Noto Sans CJK SC"/>
        <family val="2"/>
      </rPr>
      <t xml:space="preserve">、いずれも材料費上昇が価格転嫁を上回っている</t>
    </r>
  </si>
</sst>
</file>

<file path=xl/styles.xml><?xml version="1.0" encoding="utf-8"?>
<styleSheet xmlns="http://schemas.openxmlformats.org/spreadsheetml/2006/main">
  <numFmts count="6">
    <numFmt numFmtId="164" formatCode="General"/>
    <numFmt numFmtId="165" formatCode="#,##0.00"/>
    <numFmt numFmtId="166" formatCode="0.00%"/>
    <numFmt numFmtId="167" formatCode="#,##0.0"/>
    <numFmt numFmtId="168" formatCode="#,##0"/>
    <numFmt numFmtId="169" formatCode="0.0%"/>
  </numFmts>
  <fonts count="19">
    <font>
      <sz val="11"/>
      <color theme="1"/>
      <name val="Calibri"/>
      <family val="2"/>
      <charset val="1"/>
    </font>
    <font>
      <sz val="10"/>
      <name val="Arial"/>
      <family val="0"/>
    </font>
    <font>
      <sz val="10"/>
      <name val="Arial"/>
      <family val="0"/>
    </font>
    <font>
      <sz val="10"/>
      <name val="Arial"/>
      <family val="0"/>
    </font>
    <font>
      <b val="true"/>
      <sz val="13"/>
      <color rgb="FF1F3864"/>
      <name val="Arial"/>
      <family val="0"/>
      <charset val="1"/>
    </font>
    <font>
      <b val="true"/>
      <sz val="13"/>
      <color rgb="FF1F3864"/>
      <name val="Noto Sans CJK SC"/>
      <family val="2"/>
    </font>
    <font>
      <i val="true"/>
      <sz val="8.5"/>
      <color rgb="FF666666"/>
      <name val="Noto Sans CJK SC"/>
      <family val="2"/>
    </font>
    <font>
      <i val="true"/>
      <sz val="8.5"/>
      <color rgb="FF666666"/>
      <name val="Arial"/>
      <family val="0"/>
      <charset val="1"/>
    </font>
    <font>
      <b val="true"/>
      <sz val="10"/>
      <color rgb="FF1F3864"/>
      <name val="Arial"/>
      <family val="0"/>
      <charset val="1"/>
    </font>
    <font>
      <b val="true"/>
      <sz val="10"/>
      <color rgb="FF1F3864"/>
      <name val="Noto Sans CJK SC"/>
      <family val="2"/>
    </font>
    <font>
      <sz val="10"/>
      <name val="Noto Sans CJK SC"/>
      <family val="2"/>
    </font>
    <font>
      <sz val="10"/>
      <name val="Arial"/>
      <family val="0"/>
      <charset val="1"/>
    </font>
    <font>
      <b val="true"/>
      <sz val="10"/>
      <color rgb="FFFFFFFF"/>
      <name val="Noto Sans CJK SC"/>
      <family val="2"/>
    </font>
    <font>
      <b val="true"/>
      <sz val="10"/>
      <color rgb="FFFFFFFF"/>
      <name val="Arial"/>
      <family val="0"/>
      <charset val="1"/>
    </font>
    <font>
      <b val="true"/>
      <sz val="10"/>
      <name val="Noto Sans CJK SC"/>
      <family val="2"/>
    </font>
    <font>
      <b val="true"/>
      <sz val="10"/>
      <name val="Arial"/>
      <family val="0"/>
      <charset val="1"/>
    </font>
    <font>
      <b val="true"/>
      <sz val="11"/>
      <color rgb="FF1F3864"/>
      <name val="Noto Sans CJK SC"/>
      <family val="2"/>
    </font>
    <font>
      <sz val="11"/>
      <color theme="1"/>
      <name val="Noto Sans CJK SC"/>
      <family val="2"/>
    </font>
    <font>
      <b val="true"/>
      <sz val="10"/>
      <color rgb="FF9C0006"/>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DCE6F1"/>
        <bgColor rgb="FFF2F2F2"/>
      </patternFill>
    </fill>
    <fill>
      <patternFill patternType="solid">
        <fgColor rgb="FFF2F2F2"/>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false" indent="0" shrinkToFit="false"/>
      <protection locked="true" hidden="false"/>
    </xf>
    <xf numFmtId="164" fontId="6" fillId="0" borderId="0" xfId="0" applyFont="true" applyBorder="true" applyAlignment="true" applyProtection="false">
      <alignment horizontal="left"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left" vertical="center" textRotation="0" wrapText="fals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2"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6" fontId="11" fillId="0" borderId="1" xfId="0" applyFont="true" applyBorder="true" applyAlignment="false" applyProtection="false">
      <alignment horizontal="general" vertical="bottom" textRotation="0" wrapText="false" indent="0" shrinkToFit="false"/>
      <protection locked="true" hidden="false"/>
    </xf>
    <xf numFmtId="164" fontId="10" fillId="3" borderId="1" xfId="0" applyFont="true" applyBorder="true" applyAlignment="false" applyProtection="false">
      <alignment horizontal="general" vertical="bottom" textRotation="0" wrapText="false" indent="0" shrinkToFit="false"/>
      <protection locked="true" hidden="false"/>
    </xf>
    <xf numFmtId="165" fontId="11" fillId="3" borderId="1" xfId="0" applyFont="true" applyBorder="true" applyAlignment="false" applyProtection="false">
      <alignment horizontal="general" vertical="bottom" textRotation="0" wrapText="false" indent="0" shrinkToFit="false"/>
      <protection locked="true" hidden="false"/>
    </xf>
    <xf numFmtId="166" fontId="11" fillId="3" borderId="1" xfId="0" applyFont="true" applyBorder="tru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14" fillId="3" borderId="1" xfId="0" applyFont="true" applyBorder="true" applyAlignment="false" applyProtection="false">
      <alignment horizontal="general" vertical="bottom" textRotation="0" wrapText="false" indent="0" shrinkToFit="false"/>
      <protection locked="true" hidden="false"/>
    </xf>
    <xf numFmtId="165" fontId="15" fillId="3" borderId="1" xfId="0" applyFont="true" applyBorder="true" applyAlignment="false" applyProtection="false">
      <alignment horizontal="general" vertical="bottom" textRotation="0" wrapText="false" indent="0" shrinkToFit="false"/>
      <protection locked="true" hidden="false"/>
    </xf>
    <xf numFmtId="166" fontId="15" fillId="3"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7" fontId="11" fillId="0" borderId="1" xfId="0" applyFont="true" applyBorder="true" applyAlignment="false" applyProtection="false">
      <alignment horizontal="general" vertical="bottom" textRotation="0" wrapText="false" indent="0" shrinkToFit="false"/>
      <protection locked="true" hidden="false"/>
    </xf>
    <xf numFmtId="167" fontId="11" fillId="3" borderId="1" xfId="0" applyFont="true" applyBorder="true" applyAlignment="false" applyProtection="false">
      <alignment horizontal="general" vertical="bottom" textRotation="0" wrapText="false" indent="0" shrinkToFit="false"/>
      <protection locked="true" hidden="false"/>
    </xf>
    <xf numFmtId="167" fontId="15" fillId="3" borderId="1" xfId="0" applyFont="true" applyBorder="tru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11" fillId="4" borderId="1" xfId="0" applyFont="true" applyBorder="true" applyAlignment="false" applyProtection="false">
      <alignment horizontal="general" vertical="bottom" textRotation="0" wrapText="false" indent="0" shrinkToFit="false"/>
      <protection locked="true" hidden="false"/>
    </xf>
    <xf numFmtId="167" fontId="11" fillId="4" borderId="1" xfId="0" applyFont="true" applyBorder="true" applyAlignment="false" applyProtection="false">
      <alignment horizontal="general" vertical="bottom" textRotation="0" wrapText="false" indent="0" shrinkToFit="false"/>
      <protection locked="true" hidden="false"/>
    </xf>
    <xf numFmtId="166" fontId="11" fillId="4"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left" vertical="top" textRotation="0" wrapText="true" indent="0" shrinkToFit="false"/>
      <protection locked="true" hidden="false"/>
    </xf>
    <xf numFmtId="164" fontId="10" fillId="4" borderId="1" xfId="0" applyFont="true" applyBorder="true" applyAlignment="false" applyProtection="false">
      <alignment horizontal="general" vertical="bottom" textRotation="0" wrapText="false" indent="0" shrinkToFit="false"/>
      <protection locked="true" hidden="false"/>
    </xf>
    <xf numFmtId="168" fontId="11" fillId="0" borderId="1" xfId="0" applyFont="true" applyBorder="true" applyAlignment="false" applyProtection="false">
      <alignment horizontal="general" vertical="bottom" textRotation="0" wrapText="false" indent="0" shrinkToFit="false"/>
      <protection locked="true" hidden="false"/>
    </xf>
    <xf numFmtId="168" fontId="11" fillId="4" borderId="1" xfId="0" applyFont="true" applyBorder="true" applyAlignment="false" applyProtection="false">
      <alignment horizontal="general" vertical="bottom" textRotation="0" wrapText="false" indent="0" shrinkToFit="false"/>
      <protection locked="true" hidden="false"/>
    </xf>
    <xf numFmtId="168" fontId="15" fillId="3" borderId="1" xfId="0" applyFont="true" applyBorder="tru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general" vertical="top" textRotation="0" wrapText="true" indent="0" shrinkToFit="false"/>
      <protection locked="true" hidden="false"/>
    </xf>
    <xf numFmtId="169" fontId="11" fillId="0" borderId="1" xfId="0" applyFont="true" applyBorder="true" applyAlignment="false" applyProtection="false">
      <alignment horizontal="general" vertical="bottom" textRotation="0" wrapText="false" indent="0" shrinkToFit="false"/>
      <protection locked="true" hidden="false"/>
    </xf>
    <xf numFmtId="165" fontId="11" fillId="4" borderId="1" xfId="0" applyFont="true" applyBorder="true" applyAlignment="false" applyProtection="false">
      <alignment horizontal="general" vertical="bottom" textRotation="0" wrapText="false" indent="0" shrinkToFit="false"/>
      <protection locked="true" hidden="false"/>
    </xf>
    <xf numFmtId="169" fontId="11" fillId="4" borderId="1" xfId="0" applyFont="true" applyBorder="true" applyAlignment="false" applyProtection="false">
      <alignment horizontal="general" vertical="bottom" textRotation="0" wrapText="false" indent="0" shrinkToFit="false"/>
      <protection locked="true" hidden="false"/>
    </xf>
    <xf numFmtId="168" fontId="18" fillId="0" borderId="1" xfId="0" applyFont="true" applyBorder="true" applyAlignment="false" applyProtection="false">
      <alignment horizontal="general" vertical="bottom" textRotation="0" wrapText="false" indent="0" shrinkToFit="false"/>
      <protection locked="true" hidden="false"/>
    </xf>
    <xf numFmtId="168" fontId="18" fillId="4"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name val="Arial"/>
        <charset val="1"/>
        <family val="0"/>
        <color rgb="FF9C0006"/>
        <sz val="10"/>
      </font>
      <fill>
        <patternFill>
          <bgColor rgb="FFFFC7CE"/>
        </patternFill>
      </fill>
    </dxf>
    <dxf>
      <font>
        <name val="Arial"/>
        <charset val="1"/>
        <family val="0"/>
        <b val="1"/>
        <color rgb="FF9C0006"/>
        <sz val="10"/>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2F2F2"/>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366FF"/>
      <rgbColor rgb="FF33CCCC"/>
      <rgbColor rgb="FF99CC00"/>
      <rgbColor rgb="FFFFCC00"/>
      <rgbColor rgb="FFFF9900"/>
      <rgbColor rgb="FFFF6600"/>
      <rgbColor rgb="FF666666"/>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sharedStrings" Target="sharedStrings.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worksheet" Target="worksheets/sheet10.xml"/><Relationship Id="rId2" Type="http://schemas.openxmlformats.org/officeDocument/2006/relationships/styles" Target="styles.xml"/><Relationship Id="rId16" Type="http://schemas.openxmlformats.org/officeDocument/2006/relationships/customXml" Target="../customXml/item3.xml"/><Relationship Id="rId1" Type="http://schemas.openxmlformats.org/officeDocument/2006/relationships/theme" Target="theme/theme1.xml"/><Relationship Id="rId6" Type="http://schemas.openxmlformats.org/officeDocument/2006/relationships/worksheet" Target="worksheets/sheet4.xml"/><Relationship Id="rId11" Type="http://schemas.openxmlformats.org/officeDocument/2006/relationships/worksheet" Target="worksheets/sheet9.xml"/><Relationship Id="rId5" Type="http://schemas.openxmlformats.org/officeDocument/2006/relationships/worksheet" Target="worksheets/sheet3.xml"/><Relationship Id="rId15" Type="http://schemas.openxmlformats.org/officeDocument/2006/relationships/customXml" Target="../customXml/item2.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1.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70"/>
  </cols>
  <sheetData>
    <row r="1" customFormat="false" ht="25.5" hidden="false" customHeight="true" outlineLevel="0" collapsed="false">
      <c r="A1" s="1" t="s">
        <v>0</v>
      </c>
      <c r="B1" s="1"/>
      <c r="C1" s="1"/>
      <c r="D1" s="1"/>
    </row>
    <row r="3" customFormat="false" ht="55.5" hidden="false" customHeight="true" outlineLevel="0" collapsed="false">
      <c r="A3" s="2" t="s">
        <v>1</v>
      </c>
      <c r="B3" s="2"/>
      <c r="C3" s="2"/>
      <c r="D3" s="2"/>
    </row>
    <row r="6" customFormat="false" ht="15" hidden="false" customHeight="false" outlineLevel="0" collapsed="false">
      <c r="A6" s="3" t="s">
        <v>2</v>
      </c>
      <c r="B6" s="4" t="s">
        <v>3</v>
      </c>
    </row>
    <row r="7" customFormat="false" ht="15" hidden="false" customHeight="false" outlineLevel="0" collapsed="false">
      <c r="A7" s="3" t="s">
        <v>4</v>
      </c>
      <c r="B7" s="4" t="s">
        <v>5</v>
      </c>
    </row>
    <row r="8" customFormat="false" ht="15" hidden="false" customHeight="false" outlineLevel="0" collapsed="false">
      <c r="A8" s="3" t="s">
        <v>6</v>
      </c>
      <c r="B8" s="4" t="s">
        <v>7</v>
      </c>
    </row>
    <row r="9" customFormat="false" ht="15" hidden="false" customHeight="false" outlineLevel="0" collapsed="false">
      <c r="A9" s="3" t="s">
        <v>8</v>
      </c>
      <c r="B9" s="4" t="s">
        <v>9</v>
      </c>
    </row>
    <row r="10" customFormat="false" ht="15" hidden="false" customHeight="false" outlineLevel="0" collapsed="false">
      <c r="A10" s="3" t="s">
        <v>10</v>
      </c>
      <c r="B10" s="5" t="s">
        <v>11</v>
      </c>
    </row>
    <row r="11" customFormat="false" ht="15" hidden="false" customHeight="false" outlineLevel="0" collapsed="false">
      <c r="A11" s="3" t="s">
        <v>12</v>
      </c>
      <c r="B11" s="4" t="s">
        <v>13</v>
      </c>
    </row>
    <row r="12" customFormat="false" ht="15" hidden="false" customHeight="false" outlineLevel="0" collapsed="false">
      <c r="A12" s="3" t="s">
        <v>14</v>
      </c>
      <c r="B12" s="5" t="s">
        <v>15</v>
      </c>
    </row>
    <row r="13" customFormat="false" ht="15" hidden="false" customHeight="false" outlineLevel="0" collapsed="false">
      <c r="A13" s="3" t="s">
        <v>16</v>
      </c>
      <c r="B13" s="5" t="s">
        <v>17</v>
      </c>
    </row>
    <row r="14" customFormat="false" ht="15" hidden="false" customHeight="false" outlineLevel="0" collapsed="false">
      <c r="A14" s="3" t="s">
        <v>18</v>
      </c>
      <c r="B14" s="5" t="s">
        <v>19</v>
      </c>
    </row>
  </sheetData>
  <mergeCells count="2">
    <mergeCell ref="A1:D1"/>
    <mergeCell ref="A3:D3"/>
  </mergeCells>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8"/>
    <col collapsed="false" customWidth="true" hidden="false" outlineLevel="0" max="3" min="3" style="0" width="10"/>
    <col collapsed="false" customWidth="true" hidden="false" outlineLevel="0" max="10" min="4" style="0" width="8"/>
    <col collapsed="false" customWidth="true" hidden="false" outlineLevel="0" max="11" min="11" style="0" width="10"/>
    <col collapsed="false" customWidth="true" hidden="false" outlineLevel="0" max="13" min="12" style="0" width="9"/>
  </cols>
  <sheetData>
    <row r="1" customFormat="false" ht="25.5" hidden="false" customHeight="true" outlineLevel="0" collapsed="false">
      <c r="A1" s="6" t="s">
        <v>20</v>
      </c>
      <c r="B1" s="6"/>
      <c r="C1" s="6"/>
      <c r="D1" s="6"/>
      <c r="E1" s="6"/>
      <c r="F1" s="6"/>
      <c r="G1" s="6"/>
      <c r="H1" s="6"/>
      <c r="I1" s="6"/>
      <c r="J1" s="6"/>
      <c r="K1" s="6"/>
      <c r="L1" s="6"/>
      <c r="M1" s="6"/>
    </row>
    <row r="2" customFormat="false" ht="39.75" hidden="false" customHeight="true" outlineLevel="0" collapsed="false">
      <c r="A2" s="2" t="s">
        <v>21</v>
      </c>
      <c r="B2" s="2"/>
      <c r="C2" s="2"/>
      <c r="D2" s="2"/>
      <c r="E2" s="2"/>
      <c r="F2" s="2"/>
      <c r="G2" s="2"/>
      <c r="H2" s="2"/>
      <c r="I2" s="2"/>
      <c r="J2" s="2"/>
      <c r="K2" s="2"/>
      <c r="L2" s="2"/>
      <c r="M2" s="2"/>
    </row>
    <row r="3" customFormat="false" ht="31.5" hidden="false" customHeight="true" outlineLevel="0" collapsed="false">
      <c r="A3" s="7" t="s">
        <v>22</v>
      </c>
      <c r="B3" s="7" t="s">
        <v>23</v>
      </c>
      <c r="C3" s="7" t="s">
        <v>24</v>
      </c>
      <c r="D3" s="8" t="s">
        <v>25</v>
      </c>
      <c r="E3" s="8" t="s">
        <v>26</v>
      </c>
      <c r="F3" s="8" t="s">
        <v>27</v>
      </c>
      <c r="G3" s="8" t="s">
        <v>28</v>
      </c>
      <c r="H3" s="8" t="s">
        <v>29</v>
      </c>
      <c r="I3" s="8" t="s">
        <v>30</v>
      </c>
      <c r="J3" s="8" t="s">
        <v>31</v>
      </c>
      <c r="K3" s="7" t="s">
        <v>32</v>
      </c>
      <c r="L3" s="7" t="s">
        <v>33</v>
      </c>
      <c r="M3" s="8" t="s">
        <v>34</v>
      </c>
    </row>
    <row r="4" customFormat="false" ht="15" hidden="false" customHeight="false" outlineLevel="0" collapsed="false">
      <c r="A4" s="9" t="s">
        <v>35</v>
      </c>
      <c r="B4" s="9" t="s">
        <v>36</v>
      </c>
      <c r="C4" s="10" t="n">
        <v>219.003</v>
      </c>
      <c r="D4" s="10" t="n">
        <v>0.9891</v>
      </c>
      <c r="E4" s="10" t="n">
        <v>2.5205</v>
      </c>
      <c r="F4" s="10" t="n">
        <v>3.9567</v>
      </c>
      <c r="G4" s="10" t="n">
        <v>3.3878</v>
      </c>
      <c r="H4" s="10" t="n">
        <v>2.5226</v>
      </c>
      <c r="I4" s="10" t="n">
        <v>4.4103</v>
      </c>
      <c r="J4" s="10" t="n">
        <v>3.883</v>
      </c>
      <c r="K4" s="10" t="n">
        <v>21.6702</v>
      </c>
      <c r="L4" s="11" t="n">
        <v>0.09894909</v>
      </c>
      <c r="M4" s="11" t="n">
        <v>0.14854495</v>
      </c>
    </row>
    <row r="5" customFormat="false" ht="15" hidden="false" customHeight="false" outlineLevel="0" collapsed="false">
      <c r="A5" s="9" t="s">
        <v>37</v>
      </c>
      <c r="B5" s="9" t="s">
        <v>36</v>
      </c>
      <c r="C5" s="10" t="n">
        <v>1371.689</v>
      </c>
      <c r="D5" s="10" t="n">
        <v>0.8001</v>
      </c>
      <c r="E5" s="10" t="n">
        <v>0.8951</v>
      </c>
      <c r="F5" s="10" t="n">
        <v>1.0353</v>
      </c>
      <c r="G5" s="10" t="n">
        <v>1.5542</v>
      </c>
      <c r="H5" s="10" t="n">
        <v>1.3785</v>
      </c>
      <c r="I5" s="10" t="n">
        <v>1.3305</v>
      </c>
      <c r="J5" s="10" t="n">
        <v>1.6654</v>
      </c>
      <c r="K5" s="10" t="n">
        <v>8.6591</v>
      </c>
      <c r="L5" s="11" t="n">
        <v>0.0063127</v>
      </c>
      <c r="M5" s="11" t="n">
        <v>0.00902322</v>
      </c>
    </row>
    <row r="6" customFormat="false" ht="15" hidden="false" customHeight="false" outlineLevel="0" collapsed="false">
      <c r="A6" s="12" t="s">
        <v>38</v>
      </c>
      <c r="B6" s="12" t="s">
        <v>36</v>
      </c>
      <c r="C6" s="13" t="n">
        <f aca="false">SUM(C4:C5)</f>
        <v>1590.692</v>
      </c>
      <c r="D6" s="13" t="n">
        <f aca="false">SUM(D4:D5)</f>
        <v>1.7892</v>
      </c>
      <c r="E6" s="13" t="n">
        <f aca="false">SUM(E4:E5)</f>
        <v>3.4156</v>
      </c>
      <c r="F6" s="13" t="n">
        <f aca="false">SUM(F4:F5)</f>
        <v>4.992</v>
      </c>
      <c r="G6" s="13" t="n">
        <f aca="false">SUM(G4:G5)</f>
        <v>4.942</v>
      </c>
      <c r="H6" s="13" t="n">
        <f aca="false">SUM(H4:H5)</f>
        <v>3.9011</v>
      </c>
      <c r="I6" s="13" t="n">
        <f aca="false">SUM(I4:I5)</f>
        <v>5.7408</v>
      </c>
      <c r="J6" s="13" t="n">
        <f aca="false">SUM(J4:J5)</f>
        <v>5.5484</v>
      </c>
      <c r="K6" s="13" t="n">
        <f aca="false">SUM(K4:K5)</f>
        <v>30.3293</v>
      </c>
      <c r="L6" s="14" t="n">
        <f aca="false">K6/C6</f>
        <v>0.0190667332205103</v>
      </c>
      <c r="M6" s="14" t="n">
        <v>0.02633241</v>
      </c>
    </row>
    <row r="7" customFormat="false" ht="15" hidden="false" customHeight="false" outlineLevel="0" collapsed="false">
      <c r="A7" s="9"/>
      <c r="B7" s="9"/>
      <c r="C7" s="10"/>
      <c r="D7" s="10"/>
      <c r="E7" s="10"/>
      <c r="F7" s="10"/>
      <c r="G7" s="10"/>
      <c r="H7" s="10"/>
      <c r="I7" s="10"/>
      <c r="J7" s="10"/>
      <c r="K7" s="10"/>
      <c r="L7" s="11"/>
      <c r="M7" s="11"/>
    </row>
    <row r="8" customFormat="false" ht="15" hidden="false" customHeight="false" outlineLevel="0" collapsed="false">
      <c r="A8" s="9" t="s">
        <v>35</v>
      </c>
      <c r="B8" s="9" t="s">
        <v>39</v>
      </c>
      <c r="C8" s="10" t="n">
        <v>219.003</v>
      </c>
      <c r="D8" s="10" t="n">
        <v>-0.0096</v>
      </c>
      <c r="E8" s="10" t="n">
        <v>-0.0728</v>
      </c>
      <c r="F8" s="10" t="n">
        <v>-0.007</v>
      </c>
      <c r="G8" s="10" t="n">
        <v>-0.0179</v>
      </c>
      <c r="H8" s="10" t="n">
        <v>0</v>
      </c>
      <c r="I8" s="10" t="n">
        <v>-0.0129</v>
      </c>
      <c r="J8" s="10" t="n">
        <v>-0.0062</v>
      </c>
      <c r="K8" s="10" t="n">
        <v>-0.1265</v>
      </c>
      <c r="L8" s="11" t="n">
        <v>-0.00057739</v>
      </c>
      <c r="M8" s="11" t="n">
        <v>-0.00023534</v>
      </c>
    </row>
    <row r="9" customFormat="false" ht="15" hidden="false" customHeight="false" outlineLevel="0" collapsed="false">
      <c r="A9" s="9" t="s">
        <v>37</v>
      </c>
      <c r="B9" s="9" t="s">
        <v>39</v>
      </c>
      <c r="C9" s="10" t="n">
        <v>1371.689</v>
      </c>
      <c r="D9" s="10" t="n">
        <v>-0.241</v>
      </c>
      <c r="E9" s="10" t="n">
        <v>-0.4592</v>
      </c>
      <c r="F9" s="10" t="n">
        <v>-0.7156</v>
      </c>
      <c r="G9" s="10" t="n">
        <v>-1.3378</v>
      </c>
      <c r="H9" s="10" t="n">
        <v>-1.3076</v>
      </c>
      <c r="I9" s="10" t="n">
        <v>-3.0587</v>
      </c>
      <c r="J9" s="10" t="n">
        <v>-2.6608</v>
      </c>
      <c r="K9" s="10" t="n">
        <v>-9.7808</v>
      </c>
      <c r="L9" s="11" t="n">
        <v>-0.00713044</v>
      </c>
      <c r="M9" s="11" t="n">
        <v>-0.01441665</v>
      </c>
    </row>
    <row r="10" customFormat="false" ht="15" hidden="false" customHeight="false" outlineLevel="0" collapsed="false">
      <c r="A10" s="12" t="s">
        <v>38</v>
      </c>
      <c r="B10" s="12" t="s">
        <v>39</v>
      </c>
      <c r="C10" s="13" t="n">
        <f aca="false">SUM(C8:C9)</f>
        <v>1590.692</v>
      </c>
      <c r="D10" s="13" t="n">
        <f aca="false">SUM(D8:D9)</f>
        <v>-0.2506</v>
      </c>
      <c r="E10" s="13" t="n">
        <f aca="false">SUM(E8:E9)</f>
        <v>-0.532</v>
      </c>
      <c r="F10" s="13" t="n">
        <f aca="false">SUM(F8:F9)</f>
        <v>-0.7226</v>
      </c>
      <c r="G10" s="13" t="n">
        <f aca="false">SUM(G8:G9)</f>
        <v>-1.3557</v>
      </c>
      <c r="H10" s="13" t="n">
        <f aca="false">SUM(H8:H9)</f>
        <v>-1.3076</v>
      </c>
      <c r="I10" s="13" t="n">
        <f aca="false">SUM(I8:I9)</f>
        <v>-3.0716</v>
      </c>
      <c r="J10" s="13" t="n">
        <f aca="false">SUM(J8:J9)</f>
        <v>-2.667</v>
      </c>
      <c r="K10" s="13" t="n">
        <f aca="false">SUM(K8:K9)</f>
        <v>-9.9073</v>
      </c>
      <c r="L10" s="14" t="n">
        <f aca="false">K10/C10</f>
        <v>-0.00622829560970948</v>
      </c>
      <c r="M10" s="14" t="n">
        <v>-0.0126573</v>
      </c>
    </row>
    <row r="11" customFormat="false" ht="15" hidden="false" customHeight="false" outlineLevel="0" collapsed="false">
      <c r="C11" s="15"/>
      <c r="D11" s="15"/>
      <c r="E11" s="15"/>
      <c r="F11" s="15"/>
      <c r="G11" s="15"/>
      <c r="H11" s="15"/>
      <c r="I11" s="15"/>
      <c r="J11" s="15"/>
      <c r="K11" s="15"/>
      <c r="L11" s="16"/>
      <c r="M11" s="16"/>
    </row>
    <row r="12" customFormat="false" ht="15" hidden="false" customHeight="false" outlineLevel="0" collapsed="false">
      <c r="A12" s="17" t="s">
        <v>40</v>
      </c>
      <c r="B12" s="17"/>
      <c r="C12" s="18"/>
      <c r="D12" s="18" t="n">
        <f aca="false">D6+D10</f>
        <v>1.5386</v>
      </c>
      <c r="E12" s="18" t="n">
        <f aca="false">E6+E10</f>
        <v>2.8836</v>
      </c>
      <c r="F12" s="18" t="n">
        <f aca="false">F6+F10</f>
        <v>4.2694</v>
      </c>
      <c r="G12" s="18" t="n">
        <f aca="false">G6+G10</f>
        <v>3.5863</v>
      </c>
      <c r="H12" s="18" t="n">
        <f aca="false">H6+H10</f>
        <v>2.5935</v>
      </c>
      <c r="I12" s="18" t="n">
        <f aca="false">I6+I10</f>
        <v>2.6692</v>
      </c>
      <c r="J12" s="18" t="n">
        <f aca="false">J6+J10</f>
        <v>2.8814</v>
      </c>
      <c r="K12" s="18" t="n">
        <f aca="false">K6+K10</f>
        <v>20.422</v>
      </c>
      <c r="L12" s="19" t="n">
        <f aca="false">K12/C6</f>
        <v>0.0128384376108008</v>
      </c>
      <c r="M12" s="19" t="n">
        <v>0.01367511</v>
      </c>
    </row>
    <row r="14" customFormat="false" ht="25.5" hidden="false" customHeight="true" outlineLevel="0" collapsed="false">
      <c r="A14" s="6" t="s">
        <v>41</v>
      </c>
      <c r="B14" s="6"/>
      <c r="C14" s="6"/>
      <c r="D14" s="6"/>
      <c r="E14" s="6"/>
      <c r="F14" s="6"/>
      <c r="G14" s="6"/>
      <c r="H14" s="6"/>
      <c r="I14" s="6"/>
      <c r="J14" s="6"/>
      <c r="K14" s="6"/>
      <c r="L14" s="6"/>
      <c r="M14" s="6"/>
    </row>
    <row r="15" customFormat="false" ht="31.5" hidden="false" customHeight="true" outlineLevel="0" collapsed="false">
      <c r="A15" s="7" t="s">
        <v>42</v>
      </c>
      <c r="B15" s="7" t="s">
        <v>23</v>
      </c>
      <c r="C15" s="7" t="s">
        <v>24</v>
      </c>
      <c r="D15" s="8" t="s">
        <v>25</v>
      </c>
      <c r="E15" s="8" t="s">
        <v>26</v>
      </c>
      <c r="F15" s="8" t="s">
        <v>27</v>
      </c>
      <c r="G15" s="8" t="s">
        <v>28</v>
      </c>
      <c r="H15" s="8" t="s">
        <v>29</v>
      </c>
      <c r="I15" s="8" t="s">
        <v>30</v>
      </c>
      <c r="J15" s="8" t="s">
        <v>31</v>
      </c>
      <c r="K15" s="7" t="s">
        <v>32</v>
      </c>
      <c r="L15" s="7" t="s">
        <v>33</v>
      </c>
      <c r="M15" s="8" t="s">
        <v>34</v>
      </c>
    </row>
    <row r="16" customFormat="false" ht="15" hidden="false" customHeight="false" outlineLevel="0" collapsed="false">
      <c r="A16" s="9" t="s">
        <v>43</v>
      </c>
      <c r="B16" s="9" t="s">
        <v>36</v>
      </c>
      <c r="C16" s="10" t="n">
        <v>444.867</v>
      </c>
      <c r="D16" s="10" t="n">
        <v>0.5883</v>
      </c>
      <c r="E16" s="10" t="n">
        <v>0.4663</v>
      </c>
      <c r="F16" s="10" t="n">
        <v>0.495</v>
      </c>
      <c r="G16" s="10" t="n">
        <v>0.9004</v>
      </c>
      <c r="H16" s="10" t="n">
        <v>0.4138</v>
      </c>
      <c r="I16" s="10" t="n">
        <v>0.5731</v>
      </c>
      <c r="J16" s="10" t="n">
        <v>0.5738</v>
      </c>
      <c r="K16" s="10" t="n">
        <v>4.0106</v>
      </c>
      <c r="L16" s="11" t="n">
        <v>0.00901526</v>
      </c>
      <c r="M16" s="11" t="n">
        <v>0.00926545</v>
      </c>
    </row>
    <row r="17" customFormat="false" ht="15" hidden="false" customHeight="false" outlineLevel="0" collapsed="false">
      <c r="A17" s="9" t="s">
        <v>44</v>
      </c>
      <c r="B17" s="9" t="s">
        <v>36</v>
      </c>
      <c r="C17" s="10" t="n">
        <v>291.045</v>
      </c>
      <c r="D17" s="10" t="n">
        <v>0</v>
      </c>
      <c r="E17" s="10" t="n">
        <v>0</v>
      </c>
      <c r="F17" s="10" t="n">
        <v>0</v>
      </c>
      <c r="G17" s="10" t="n">
        <v>0</v>
      </c>
      <c r="H17" s="10" t="n">
        <v>0.041</v>
      </c>
      <c r="I17" s="10" t="n">
        <v>0</v>
      </c>
      <c r="J17" s="10" t="n">
        <v>0.0118</v>
      </c>
      <c r="K17" s="10" t="n">
        <v>0.0528</v>
      </c>
      <c r="L17" s="11" t="n">
        <v>0.00018154</v>
      </c>
      <c r="M17" s="11" t="n">
        <v>0.00027258</v>
      </c>
    </row>
    <row r="18" customFormat="false" ht="15" hidden="false" customHeight="false" outlineLevel="0" collapsed="false">
      <c r="A18" s="9" t="s">
        <v>45</v>
      </c>
      <c r="B18" s="9" t="s">
        <v>36</v>
      </c>
      <c r="C18" s="10" t="n">
        <v>240.823</v>
      </c>
      <c r="D18" s="10" t="n">
        <v>0.7919</v>
      </c>
      <c r="E18" s="10" t="n">
        <v>2.1723</v>
      </c>
      <c r="F18" s="10" t="n">
        <v>3.1293</v>
      </c>
      <c r="G18" s="10" t="n">
        <v>2.1803</v>
      </c>
      <c r="H18" s="10" t="n">
        <v>1.6052</v>
      </c>
      <c r="I18" s="10" t="n">
        <v>3.1695</v>
      </c>
      <c r="J18" s="10" t="n">
        <v>2.2208</v>
      </c>
      <c r="K18" s="10" t="n">
        <v>15.2693</v>
      </c>
      <c r="L18" s="11" t="n">
        <v>0.06340455</v>
      </c>
      <c r="M18" s="11" t="n">
        <v>0.06788424</v>
      </c>
    </row>
    <row r="19" customFormat="false" ht="15" hidden="false" customHeight="false" outlineLevel="0" collapsed="false">
      <c r="A19" s="9" t="s">
        <v>46</v>
      </c>
      <c r="B19" s="9" t="s">
        <v>36</v>
      </c>
      <c r="C19" s="10" t="n">
        <v>112.039</v>
      </c>
      <c r="D19" s="10" t="n">
        <v>0.1639</v>
      </c>
      <c r="E19" s="10" t="n">
        <v>0.3936</v>
      </c>
      <c r="F19" s="10" t="n">
        <v>0.5696</v>
      </c>
      <c r="G19" s="10" t="n">
        <v>0.5138</v>
      </c>
      <c r="H19" s="10" t="n">
        <v>0.578</v>
      </c>
      <c r="I19" s="10" t="n">
        <v>0.6999</v>
      </c>
      <c r="J19" s="10" t="n">
        <v>0.8198</v>
      </c>
      <c r="K19" s="10" t="n">
        <v>3.7385</v>
      </c>
      <c r="L19" s="11" t="n">
        <v>0.03336759</v>
      </c>
      <c r="M19" s="11" t="n">
        <v>0.05574155</v>
      </c>
    </row>
    <row r="20" customFormat="false" ht="15" hidden="false" customHeight="false" outlineLevel="0" collapsed="false">
      <c r="A20" s="9" t="s">
        <v>47</v>
      </c>
      <c r="B20" s="9" t="s">
        <v>36</v>
      </c>
      <c r="C20" s="10" t="n">
        <v>55.589</v>
      </c>
      <c r="D20" s="10" t="n">
        <v>0</v>
      </c>
      <c r="E20" s="10" t="n">
        <v>0.0348</v>
      </c>
      <c r="F20" s="10" t="n">
        <v>0.3975</v>
      </c>
      <c r="G20" s="10" t="n">
        <v>0.3658</v>
      </c>
      <c r="H20" s="10" t="n">
        <v>0.3368</v>
      </c>
      <c r="I20" s="10" t="n">
        <v>0.4117</v>
      </c>
      <c r="J20" s="10" t="n">
        <v>0.4266</v>
      </c>
      <c r="K20" s="10" t="n">
        <v>1.9731</v>
      </c>
      <c r="L20" s="11" t="n">
        <v>0.03549386</v>
      </c>
      <c r="M20" s="11" t="n">
        <v>0.07583843</v>
      </c>
    </row>
    <row r="21" customFormat="false" ht="15" hidden="false" customHeight="false" outlineLevel="0" collapsed="false">
      <c r="A21" s="9" t="s">
        <v>48</v>
      </c>
      <c r="B21" s="9" t="s">
        <v>36</v>
      </c>
      <c r="C21" s="10" t="n">
        <v>29.818</v>
      </c>
      <c r="D21" s="10" t="n">
        <v>0.0117</v>
      </c>
      <c r="E21" s="10" t="n">
        <v>0</v>
      </c>
      <c r="F21" s="10" t="n">
        <v>0</v>
      </c>
      <c r="G21" s="10" t="n">
        <v>0.0049</v>
      </c>
      <c r="H21" s="10" t="n">
        <v>0.0149</v>
      </c>
      <c r="I21" s="10" t="n">
        <v>0.0766</v>
      </c>
      <c r="J21" s="10" t="n">
        <v>0.0337</v>
      </c>
      <c r="K21" s="10" t="n">
        <v>0.1419</v>
      </c>
      <c r="L21" s="11" t="n">
        <v>0.00475816</v>
      </c>
      <c r="M21" s="11" t="n">
        <v>0.00713552</v>
      </c>
    </row>
    <row r="22" customFormat="false" ht="15" hidden="false" customHeight="false" outlineLevel="0" collapsed="false">
      <c r="A22" s="9" t="s">
        <v>49</v>
      </c>
      <c r="B22" s="9" t="s">
        <v>36</v>
      </c>
      <c r="C22" s="10" t="n">
        <v>29.158</v>
      </c>
      <c r="D22" s="10" t="n">
        <v>0.0163</v>
      </c>
      <c r="E22" s="10" t="n">
        <v>0.1128</v>
      </c>
      <c r="F22" s="10" t="n">
        <v>0.0194</v>
      </c>
      <c r="G22" s="10" t="n">
        <v>0.029</v>
      </c>
      <c r="H22" s="10" t="n">
        <v>0.0015</v>
      </c>
      <c r="I22" s="10" t="n">
        <v>0.0013</v>
      </c>
      <c r="J22" s="10" t="n">
        <v>0.0027</v>
      </c>
      <c r="K22" s="10" t="n">
        <v>0.183</v>
      </c>
      <c r="L22" s="11" t="n">
        <v>0.00627743</v>
      </c>
      <c r="M22" s="11" t="n">
        <v>0.01099822</v>
      </c>
    </row>
    <row r="23" customFormat="false" ht="15" hidden="false" customHeight="false" outlineLevel="0" collapsed="false">
      <c r="A23" s="9" t="s">
        <v>50</v>
      </c>
      <c r="B23" s="9" t="s">
        <v>36</v>
      </c>
      <c r="C23" s="10" t="n">
        <v>24.418</v>
      </c>
      <c r="D23" s="10" t="n">
        <v>0</v>
      </c>
      <c r="E23" s="10" t="n">
        <v>0</v>
      </c>
      <c r="F23" s="10" t="n">
        <v>0</v>
      </c>
      <c r="G23" s="10" t="n">
        <v>0</v>
      </c>
      <c r="H23" s="10" t="n">
        <v>0</v>
      </c>
      <c r="I23" s="10" t="n">
        <v>0</v>
      </c>
      <c r="J23" s="10" t="n">
        <v>0</v>
      </c>
      <c r="K23" s="10" t="n">
        <v>0</v>
      </c>
      <c r="L23" s="11" t="n">
        <v>0</v>
      </c>
      <c r="M23" s="11" t="n">
        <v>0</v>
      </c>
    </row>
    <row r="24" customFormat="false" ht="15" hidden="false" customHeight="false" outlineLevel="0" collapsed="false">
      <c r="A24" s="20" t="s">
        <v>51</v>
      </c>
      <c r="B24" s="9" t="s">
        <v>36</v>
      </c>
      <c r="C24" s="10" t="n">
        <v>24.343</v>
      </c>
      <c r="D24" s="10" t="n">
        <v>0</v>
      </c>
      <c r="E24" s="10" t="n">
        <v>0</v>
      </c>
      <c r="F24" s="10" t="n">
        <v>0</v>
      </c>
      <c r="G24" s="10" t="n">
        <v>0</v>
      </c>
      <c r="H24" s="10" t="n">
        <v>0</v>
      </c>
      <c r="I24" s="10" t="n">
        <v>0</v>
      </c>
      <c r="J24" s="10" t="n">
        <v>0</v>
      </c>
      <c r="K24" s="10" t="n">
        <v>0</v>
      </c>
      <c r="L24" s="11" t="n">
        <v>0</v>
      </c>
      <c r="M24" s="11" t="n">
        <v>0</v>
      </c>
    </row>
    <row r="25" customFormat="false" ht="15" hidden="false" customHeight="false" outlineLevel="0" collapsed="false">
      <c r="A25" s="9" t="s">
        <v>52</v>
      </c>
      <c r="B25" s="9" t="s">
        <v>36</v>
      </c>
      <c r="C25" s="10" t="n">
        <v>22.233</v>
      </c>
      <c r="D25" s="10" t="n">
        <v>0</v>
      </c>
      <c r="E25" s="10" t="n">
        <v>0</v>
      </c>
      <c r="F25" s="10" t="n">
        <v>0.0053</v>
      </c>
      <c r="G25" s="10" t="n">
        <v>0.1026</v>
      </c>
      <c r="H25" s="10" t="n">
        <v>0.1572</v>
      </c>
      <c r="I25" s="10" t="n">
        <v>0.0505</v>
      </c>
      <c r="J25" s="10" t="n">
        <v>0.1196</v>
      </c>
      <c r="K25" s="10" t="n">
        <v>0.4352</v>
      </c>
      <c r="L25" s="11" t="n">
        <v>0.0195727</v>
      </c>
      <c r="M25" s="11" t="n">
        <v>0.0647976</v>
      </c>
    </row>
    <row r="26" customFormat="false" ht="15" hidden="false" customHeight="false" outlineLevel="0" collapsed="false">
      <c r="A26" s="9" t="s">
        <v>53</v>
      </c>
      <c r="B26" s="9" t="s">
        <v>36</v>
      </c>
      <c r="C26" s="10" t="n">
        <v>20.716</v>
      </c>
      <c r="D26" s="10" t="n">
        <v>0</v>
      </c>
      <c r="E26" s="10" t="n">
        <v>0.0075</v>
      </c>
      <c r="F26" s="10" t="n">
        <v>0.0356</v>
      </c>
      <c r="G26" s="10" t="n">
        <v>0.0355</v>
      </c>
      <c r="H26" s="10" t="n">
        <v>0.0321</v>
      </c>
      <c r="I26" s="10" t="n">
        <v>0.0413</v>
      </c>
      <c r="J26" s="10" t="n">
        <v>0.0282</v>
      </c>
      <c r="K26" s="10" t="n">
        <v>0.1801</v>
      </c>
      <c r="L26" s="11" t="n">
        <v>0.00869365</v>
      </c>
      <c r="M26" s="11" t="n">
        <v>0.01077625</v>
      </c>
    </row>
    <row r="27" customFormat="false" ht="15" hidden="false" customHeight="false" outlineLevel="0" collapsed="false">
      <c r="A27" s="9" t="s">
        <v>54</v>
      </c>
      <c r="B27" s="9" t="s">
        <v>36</v>
      </c>
      <c r="C27" s="10" t="n">
        <v>18.803</v>
      </c>
      <c r="D27" s="10" t="n">
        <v>0.013</v>
      </c>
      <c r="E27" s="10" t="n">
        <v>0.0072</v>
      </c>
      <c r="F27" s="10" t="n">
        <v>0.0028</v>
      </c>
      <c r="G27" s="10" t="n">
        <v>0.1055</v>
      </c>
      <c r="H27" s="10" t="n">
        <v>0.0741</v>
      </c>
      <c r="I27" s="10" t="n">
        <v>0</v>
      </c>
      <c r="J27" s="10" t="n">
        <v>0</v>
      </c>
      <c r="K27" s="10" t="n">
        <v>0.2026</v>
      </c>
      <c r="L27" s="11" t="n">
        <v>0.01077555</v>
      </c>
      <c r="M27" s="11" t="n">
        <v>0</v>
      </c>
    </row>
    <row r="28" customFormat="false" ht="15" hidden="false" customHeight="false" outlineLevel="0" collapsed="false">
      <c r="A28" s="12" t="s">
        <v>38</v>
      </c>
      <c r="B28" s="12" t="s">
        <v>36</v>
      </c>
      <c r="C28" s="13" t="n">
        <f aca="false">SUM(C16:C27)</f>
        <v>1313.852</v>
      </c>
      <c r="D28" s="13" t="n">
        <f aca="false">SUM(D16:D27)</f>
        <v>1.5851</v>
      </c>
      <c r="E28" s="13" t="n">
        <f aca="false">SUM(E16:E27)</f>
        <v>3.1945</v>
      </c>
      <c r="F28" s="13" t="n">
        <f aca="false">SUM(F16:F27)</f>
        <v>4.6545</v>
      </c>
      <c r="G28" s="13" t="n">
        <f aca="false">SUM(G16:G27)</f>
        <v>4.2378</v>
      </c>
      <c r="H28" s="13" t="n">
        <f aca="false">SUM(H16:H27)</f>
        <v>3.2546</v>
      </c>
      <c r="I28" s="13" t="n">
        <f aca="false">SUM(I16:I27)</f>
        <v>5.0239</v>
      </c>
      <c r="J28" s="13" t="n">
        <f aca="false">SUM(J16:J27)</f>
        <v>4.237</v>
      </c>
      <c r="K28" s="13" t="n">
        <f aca="false">SUM(K16:K27)</f>
        <v>26.1871</v>
      </c>
      <c r="L28" s="14" t="n">
        <f aca="false">K28/C28</f>
        <v>0.0199315448010887</v>
      </c>
      <c r="M28" s="14" t="n">
        <v>0.02443623</v>
      </c>
    </row>
    <row r="29" customFormat="false" ht="15" hidden="false" customHeight="false" outlineLevel="0" collapsed="false">
      <c r="A29" s="9"/>
      <c r="B29" s="9"/>
      <c r="C29" s="10"/>
      <c r="D29" s="10"/>
      <c r="E29" s="10"/>
      <c r="F29" s="10"/>
      <c r="G29" s="10"/>
      <c r="H29" s="10"/>
      <c r="I29" s="10"/>
      <c r="J29" s="10"/>
      <c r="K29" s="10"/>
      <c r="L29" s="11"/>
      <c r="M29" s="11"/>
    </row>
    <row r="30" customFormat="false" ht="15" hidden="false" customHeight="false" outlineLevel="0" collapsed="false">
      <c r="A30" s="9" t="s">
        <v>43</v>
      </c>
      <c r="B30" s="9" t="s">
        <v>39</v>
      </c>
      <c r="C30" s="10" t="n">
        <v>444.867</v>
      </c>
      <c r="D30" s="10" t="n">
        <v>-0.1615</v>
      </c>
      <c r="E30" s="10" t="n">
        <v>-0.3207</v>
      </c>
      <c r="F30" s="10" t="n">
        <v>-0.3313</v>
      </c>
      <c r="G30" s="10" t="n">
        <v>-1.2069</v>
      </c>
      <c r="H30" s="10" t="n">
        <v>-1.0423</v>
      </c>
      <c r="I30" s="10" t="n">
        <v>-2.5537</v>
      </c>
      <c r="J30" s="10" t="n">
        <v>-2.0039</v>
      </c>
      <c r="K30" s="10" t="n">
        <v>-7.6201</v>
      </c>
      <c r="L30" s="11" t="n">
        <v>-0.01712903</v>
      </c>
      <c r="M30" s="11" t="n">
        <v>-0.03235711</v>
      </c>
    </row>
    <row r="31" customFormat="false" ht="15" hidden="false" customHeight="false" outlineLevel="0" collapsed="false">
      <c r="A31" s="9" t="s">
        <v>44</v>
      </c>
      <c r="B31" s="9" t="s">
        <v>39</v>
      </c>
      <c r="C31" s="10" t="n">
        <v>291.045</v>
      </c>
      <c r="D31" s="10" t="n">
        <v>0</v>
      </c>
      <c r="E31" s="10" t="n">
        <v>0</v>
      </c>
      <c r="F31" s="10" t="n">
        <v>0</v>
      </c>
      <c r="G31" s="10" t="n">
        <v>0</v>
      </c>
      <c r="H31" s="10" t="n">
        <v>0</v>
      </c>
      <c r="I31" s="10" t="n">
        <v>0</v>
      </c>
      <c r="J31" s="10" t="n">
        <v>0</v>
      </c>
      <c r="K31" s="10" t="n">
        <v>0</v>
      </c>
      <c r="L31" s="11" t="n">
        <v>0</v>
      </c>
      <c r="M31" s="11" t="n">
        <v>0</v>
      </c>
    </row>
    <row r="32" customFormat="false" ht="15" hidden="false" customHeight="false" outlineLevel="0" collapsed="false">
      <c r="A32" s="9" t="s">
        <v>45</v>
      </c>
      <c r="B32" s="9" t="s">
        <v>39</v>
      </c>
      <c r="C32" s="10" t="n">
        <v>240.823</v>
      </c>
      <c r="D32" s="10" t="n">
        <v>0</v>
      </c>
      <c r="E32" s="10" t="n">
        <v>0</v>
      </c>
      <c r="F32" s="10" t="n">
        <v>0</v>
      </c>
      <c r="G32" s="10" t="n">
        <v>0</v>
      </c>
      <c r="H32" s="10" t="n">
        <v>0</v>
      </c>
      <c r="I32" s="10" t="n">
        <v>-0.0123</v>
      </c>
      <c r="J32" s="10" t="n">
        <v>0</v>
      </c>
      <c r="K32" s="10" t="n">
        <v>-0.0123</v>
      </c>
      <c r="L32" s="11" t="n">
        <v>-5.121E-005</v>
      </c>
      <c r="M32" s="11" t="n">
        <v>-6E-008</v>
      </c>
    </row>
    <row r="33" customFormat="false" ht="15" hidden="false" customHeight="false" outlineLevel="0" collapsed="false">
      <c r="A33" s="9" t="s">
        <v>46</v>
      </c>
      <c r="B33" s="9" t="s">
        <v>39</v>
      </c>
      <c r="C33" s="10" t="n">
        <v>112.039</v>
      </c>
      <c r="D33" s="10" t="n">
        <v>-0.025</v>
      </c>
      <c r="E33" s="10" t="n">
        <v>-0.017</v>
      </c>
      <c r="F33" s="10" t="n">
        <v>-0.073</v>
      </c>
      <c r="G33" s="10" t="n">
        <v>-0.025</v>
      </c>
      <c r="H33" s="10" t="n">
        <v>-0.041</v>
      </c>
      <c r="I33" s="10" t="n">
        <v>-0.0392</v>
      </c>
      <c r="J33" s="10" t="n">
        <v>-0.0471</v>
      </c>
      <c r="K33" s="10" t="n">
        <v>-0.2673</v>
      </c>
      <c r="L33" s="11" t="n">
        <v>-0.00238577</v>
      </c>
      <c r="M33" s="11" t="n">
        <v>-0.00320267</v>
      </c>
    </row>
    <row r="34" customFormat="false" ht="15" hidden="false" customHeight="false" outlineLevel="0" collapsed="false">
      <c r="A34" s="9" t="s">
        <v>47</v>
      </c>
      <c r="B34" s="9" t="s">
        <v>39</v>
      </c>
      <c r="C34" s="10" t="n">
        <v>55.589</v>
      </c>
      <c r="D34" s="10" t="n">
        <v>0</v>
      </c>
      <c r="E34" s="10" t="n">
        <v>0</v>
      </c>
      <c r="F34" s="10" t="n">
        <v>0</v>
      </c>
      <c r="G34" s="10" t="n">
        <v>0</v>
      </c>
      <c r="H34" s="10" t="n">
        <v>0</v>
      </c>
      <c r="I34" s="10" t="n">
        <v>0</v>
      </c>
      <c r="J34" s="10" t="n">
        <v>0</v>
      </c>
      <c r="K34" s="10" t="n">
        <v>0</v>
      </c>
      <c r="L34" s="11" t="n">
        <v>0</v>
      </c>
      <c r="M34" s="11" t="n">
        <v>0</v>
      </c>
    </row>
    <row r="35" customFormat="false" ht="15" hidden="false" customHeight="false" outlineLevel="0" collapsed="false">
      <c r="A35" s="9" t="s">
        <v>48</v>
      </c>
      <c r="B35" s="9" t="s">
        <v>39</v>
      </c>
      <c r="C35" s="10" t="n">
        <v>29.818</v>
      </c>
      <c r="D35" s="10" t="n">
        <v>-0.0022</v>
      </c>
      <c r="E35" s="10" t="n">
        <v>-0.0022</v>
      </c>
      <c r="F35" s="10" t="n">
        <v>-0.003</v>
      </c>
      <c r="G35" s="10" t="n">
        <v>-0.0064</v>
      </c>
      <c r="H35" s="10" t="n">
        <v>-0.0132</v>
      </c>
      <c r="I35" s="10" t="n">
        <v>-0.0467</v>
      </c>
      <c r="J35" s="10" t="n">
        <v>-0.0493</v>
      </c>
      <c r="K35" s="10" t="n">
        <v>-0.1229</v>
      </c>
      <c r="L35" s="11" t="n">
        <v>-0.00412113</v>
      </c>
      <c r="M35" s="11" t="n">
        <v>-0.01043297</v>
      </c>
    </row>
    <row r="36" customFormat="false" ht="15" hidden="false" customHeight="false" outlineLevel="0" collapsed="false">
      <c r="A36" s="9" t="s">
        <v>49</v>
      </c>
      <c r="B36" s="9" t="s">
        <v>39</v>
      </c>
      <c r="C36" s="10" t="n">
        <v>29.158</v>
      </c>
      <c r="D36" s="10" t="n">
        <v>0</v>
      </c>
      <c r="E36" s="10" t="n">
        <v>0</v>
      </c>
      <c r="F36" s="10" t="n">
        <v>0</v>
      </c>
      <c r="G36" s="10" t="n">
        <v>0</v>
      </c>
      <c r="H36" s="10" t="n">
        <v>0</v>
      </c>
      <c r="I36" s="10" t="n">
        <v>0</v>
      </c>
      <c r="J36" s="10" t="n">
        <v>0</v>
      </c>
      <c r="K36" s="10" t="n">
        <v>0</v>
      </c>
      <c r="L36" s="11" t="n">
        <v>0</v>
      </c>
      <c r="M36" s="11" t="n">
        <v>0</v>
      </c>
    </row>
    <row r="37" customFormat="false" ht="15" hidden="false" customHeight="false" outlineLevel="0" collapsed="false">
      <c r="A37" s="9" t="s">
        <v>50</v>
      </c>
      <c r="B37" s="9" t="s">
        <v>39</v>
      </c>
      <c r="C37" s="10" t="n">
        <v>24.418</v>
      </c>
      <c r="D37" s="10" t="n">
        <v>0</v>
      </c>
      <c r="E37" s="10" t="n">
        <v>0</v>
      </c>
      <c r="F37" s="10" t="n">
        <v>0</v>
      </c>
      <c r="G37" s="10" t="n">
        <v>0</v>
      </c>
      <c r="H37" s="10" t="n">
        <v>0</v>
      </c>
      <c r="I37" s="10" t="n">
        <v>0</v>
      </c>
      <c r="J37" s="10" t="n">
        <v>0</v>
      </c>
      <c r="K37" s="10" t="n">
        <v>0</v>
      </c>
      <c r="L37" s="11" t="n">
        <v>0</v>
      </c>
      <c r="M37" s="11" t="n">
        <v>0</v>
      </c>
    </row>
    <row r="38" customFormat="false" ht="15" hidden="false" customHeight="false" outlineLevel="0" collapsed="false">
      <c r="A38" s="20" t="s">
        <v>51</v>
      </c>
      <c r="B38" s="9" t="s">
        <v>39</v>
      </c>
      <c r="C38" s="10" t="n">
        <v>24.343</v>
      </c>
      <c r="D38" s="10" t="n">
        <v>0</v>
      </c>
      <c r="E38" s="10" t="n">
        <v>0</v>
      </c>
      <c r="F38" s="10" t="n">
        <v>0</v>
      </c>
      <c r="G38" s="10" t="n">
        <v>0</v>
      </c>
      <c r="H38" s="10" t="n">
        <v>0</v>
      </c>
      <c r="I38" s="10" t="n">
        <v>0</v>
      </c>
      <c r="J38" s="10" t="n">
        <v>0</v>
      </c>
      <c r="K38" s="10" t="n">
        <v>0</v>
      </c>
      <c r="L38" s="11" t="n">
        <v>0</v>
      </c>
      <c r="M38" s="11" t="n">
        <v>0</v>
      </c>
    </row>
    <row r="39" customFormat="false" ht="15" hidden="false" customHeight="false" outlineLevel="0" collapsed="false">
      <c r="A39" s="9" t="s">
        <v>52</v>
      </c>
      <c r="B39" s="9" t="s">
        <v>39</v>
      </c>
      <c r="C39" s="10" t="n">
        <v>22.233</v>
      </c>
      <c r="D39" s="10" t="n">
        <v>0</v>
      </c>
      <c r="E39" s="10" t="n">
        <v>0</v>
      </c>
      <c r="F39" s="10" t="n">
        <v>0</v>
      </c>
      <c r="G39" s="10" t="n">
        <v>0</v>
      </c>
      <c r="H39" s="10" t="n">
        <v>0</v>
      </c>
      <c r="I39" s="10" t="n">
        <v>0</v>
      </c>
      <c r="J39" s="10" t="n">
        <v>0</v>
      </c>
      <c r="K39" s="10" t="n">
        <v>0</v>
      </c>
      <c r="L39" s="11" t="n">
        <v>-6E-008</v>
      </c>
      <c r="M39" s="11" t="n">
        <v>0</v>
      </c>
    </row>
    <row r="40" customFormat="false" ht="15" hidden="false" customHeight="false" outlineLevel="0" collapsed="false">
      <c r="A40" s="9" t="s">
        <v>53</v>
      </c>
      <c r="B40" s="9" t="s">
        <v>39</v>
      </c>
      <c r="C40" s="10" t="n">
        <v>20.716</v>
      </c>
      <c r="D40" s="10" t="n">
        <v>0</v>
      </c>
      <c r="E40" s="10" t="n">
        <v>0</v>
      </c>
      <c r="F40" s="10" t="n">
        <v>0</v>
      </c>
      <c r="G40" s="10" t="n">
        <v>0</v>
      </c>
      <c r="H40" s="10" t="n">
        <v>0</v>
      </c>
      <c r="I40" s="10" t="n">
        <v>0</v>
      </c>
      <c r="J40" s="10" t="n">
        <v>0</v>
      </c>
      <c r="K40" s="10" t="n">
        <v>0</v>
      </c>
      <c r="L40" s="11" t="n">
        <v>0</v>
      </c>
      <c r="M40" s="11" t="n">
        <v>0</v>
      </c>
    </row>
    <row r="41" customFormat="false" ht="15" hidden="false" customHeight="false" outlineLevel="0" collapsed="false">
      <c r="A41" s="9" t="s">
        <v>54</v>
      </c>
      <c r="B41" s="9" t="s">
        <v>39</v>
      </c>
      <c r="C41" s="10" t="n">
        <v>18.803</v>
      </c>
      <c r="D41" s="10" t="n">
        <v>-0.0014</v>
      </c>
      <c r="E41" s="10" t="n">
        <v>-0.0491</v>
      </c>
      <c r="F41" s="10" t="n">
        <v>-0.0201</v>
      </c>
      <c r="G41" s="10" t="n">
        <v>0</v>
      </c>
      <c r="H41" s="10" t="n">
        <v>0</v>
      </c>
      <c r="I41" s="10" t="n">
        <v>0</v>
      </c>
      <c r="J41" s="10" t="n">
        <v>0</v>
      </c>
      <c r="K41" s="10" t="n">
        <v>-0.0706</v>
      </c>
      <c r="L41" s="11" t="n">
        <v>-0.00375606</v>
      </c>
      <c r="M41" s="11" t="n">
        <v>0</v>
      </c>
    </row>
    <row r="42" customFormat="false" ht="15" hidden="false" customHeight="false" outlineLevel="0" collapsed="false">
      <c r="A42" s="12" t="s">
        <v>38</v>
      </c>
      <c r="B42" s="12" t="s">
        <v>39</v>
      </c>
      <c r="C42" s="13" t="n">
        <f aca="false">SUM(C30:C41)</f>
        <v>1313.852</v>
      </c>
      <c r="D42" s="13" t="n">
        <f aca="false">SUM(D30:D41)</f>
        <v>-0.1901</v>
      </c>
      <c r="E42" s="13" t="n">
        <f aca="false">SUM(E30:E41)</f>
        <v>-0.389</v>
      </c>
      <c r="F42" s="13" t="n">
        <f aca="false">SUM(F30:F41)</f>
        <v>-0.4274</v>
      </c>
      <c r="G42" s="13" t="n">
        <f aca="false">SUM(G30:G41)</f>
        <v>-1.2383</v>
      </c>
      <c r="H42" s="13" t="n">
        <f aca="false">SUM(H30:H41)</f>
        <v>-1.0965</v>
      </c>
      <c r="I42" s="13" t="n">
        <f aca="false">SUM(I30:I41)</f>
        <v>-2.6519</v>
      </c>
      <c r="J42" s="13" t="n">
        <f aca="false">SUM(J30:J41)</f>
        <v>-2.1003</v>
      </c>
      <c r="K42" s="13" t="n">
        <f aca="false">SUM(K30:K41)</f>
        <v>-8.0932</v>
      </c>
      <c r="L42" s="14" t="n">
        <f aca="false">K42/C42</f>
        <v>-0.00615990233298728</v>
      </c>
      <c r="M42" s="14" t="n">
        <v>-0.01211304</v>
      </c>
    </row>
    <row r="43" customFormat="false" ht="15" hidden="false" customHeight="false" outlineLevel="0" collapsed="false">
      <c r="C43" s="15"/>
      <c r="D43" s="15"/>
      <c r="E43" s="15"/>
      <c r="F43" s="15"/>
      <c r="G43" s="15"/>
      <c r="H43" s="15"/>
      <c r="I43" s="15"/>
      <c r="J43" s="15"/>
      <c r="K43" s="15"/>
      <c r="L43" s="16"/>
      <c r="M43" s="16"/>
    </row>
    <row r="44" customFormat="false" ht="15" hidden="false" customHeight="false" outlineLevel="0" collapsed="false">
      <c r="A44" s="17" t="s">
        <v>40</v>
      </c>
      <c r="B44" s="17"/>
      <c r="C44" s="18"/>
      <c r="D44" s="18" t="n">
        <f aca="false">D28+D42</f>
        <v>1.395</v>
      </c>
      <c r="E44" s="18" t="n">
        <f aca="false">E28+E42</f>
        <v>2.8055</v>
      </c>
      <c r="F44" s="18" t="n">
        <f aca="false">F28+F42</f>
        <v>4.2271</v>
      </c>
      <c r="G44" s="18" t="n">
        <f aca="false">G28+G42</f>
        <v>2.9995</v>
      </c>
      <c r="H44" s="18" t="n">
        <f aca="false">H28+H42</f>
        <v>2.1581</v>
      </c>
      <c r="I44" s="18" t="n">
        <f aca="false">I28+I42</f>
        <v>2.372</v>
      </c>
      <c r="J44" s="18" t="n">
        <f aca="false">J28+J42</f>
        <v>2.1367</v>
      </c>
      <c r="K44" s="18" t="n">
        <f aca="false">K28+K42</f>
        <v>18.0939</v>
      </c>
      <c r="L44" s="19" t="n">
        <f aca="false">K44/C28</f>
        <v>0.0137716424681014</v>
      </c>
      <c r="M44" s="19" t="n">
        <v>0.01232319</v>
      </c>
    </row>
    <row r="45" customFormat="false" ht="19.5" hidden="false" customHeight="true" outlineLevel="0" collapsed="false">
      <c r="A45" s="2" t="s">
        <v>55</v>
      </c>
      <c r="B45" s="2"/>
      <c r="C45" s="2"/>
      <c r="D45" s="2"/>
      <c r="E45" s="2"/>
      <c r="F45" s="2"/>
      <c r="G45" s="2"/>
      <c r="H45" s="2"/>
      <c r="I45" s="2"/>
      <c r="J45" s="2"/>
      <c r="K45" s="2"/>
      <c r="L45" s="2"/>
      <c r="M45" s="2"/>
    </row>
  </sheetData>
  <mergeCells count="4">
    <mergeCell ref="A1:M1"/>
    <mergeCell ref="A2:M2"/>
    <mergeCell ref="A14:M14"/>
    <mergeCell ref="A45:M45"/>
  </mergeCells>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
    <col collapsed="false" customWidth="true" hidden="false" outlineLevel="0" max="3" min="3" style="0" width="8"/>
    <col collapsed="false" customWidth="true" hidden="false" outlineLevel="0" max="4" min="4" style="0" width="11"/>
    <col collapsed="false" customWidth="true" hidden="false" outlineLevel="0" max="11" min="5" style="0" width="9"/>
    <col collapsed="false" customWidth="true" hidden="false" outlineLevel="0" max="12" min="12" style="0" width="10"/>
    <col collapsed="false" customWidth="true" hidden="false" outlineLevel="0" max="14" min="13" style="0" width="9"/>
  </cols>
  <sheetData>
    <row r="1" customFormat="false" ht="25.5" hidden="false" customHeight="true" outlineLevel="0" collapsed="false">
      <c r="A1" s="6" t="s">
        <v>56</v>
      </c>
      <c r="B1" s="6"/>
      <c r="C1" s="6"/>
      <c r="D1" s="6"/>
      <c r="E1" s="6"/>
      <c r="F1" s="6"/>
      <c r="G1" s="6"/>
      <c r="H1" s="6"/>
      <c r="I1" s="6"/>
      <c r="J1" s="6"/>
      <c r="K1" s="6"/>
      <c r="L1" s="6"/>
      <c r="M1" s="6"/>
      <c r="N1" s="6"/>
    </row>
    <row r="2" customFormat="false" ht="39.75" hidden="false" customHeight="true" outlineLevel="0" collapsed="false">
      <c r="A2" s="2" t="s">
        <v>57</v>
      </c>
      <c r="B2" s="2"/>
      <c r="C2" s="2"/>
      <c r="D2" s="2"/>
      <c r="E2" s="2"/>
      <c r="F2" s="2"/>
      <c r="G2" s="2"/>
      <c r="H2" s="2"/>
      <c r="I2" s="2"/>
      <c r="J2" s="2"/>
      <c r="K2" s="2"/>
      <c r="L2" s="2"/>
      <c r="M2" s="2"/>
      <c r="N2" s="2"/>
    </row>
    <row r="3" customFormat="false" ht="31.5" hidden="false" customHeight="true" outlineLevel="0" collapsed="false">
      <c r="A3" s="7" t="s">
        <v>58</v>
      </c>
      <c r="B3" s="7" t="s">
        <v>59</v>
      </c>
      <c r="C3" s="7" t="s">
        <v>23</v>
      </c>
      <c r="D3" s="7" t="s">
        <v>24</v>
      </c>
      <c r="E3" s="8" t="s">
        <v>25</v>
      </c>
      <c r="F3" s="8" t="s">
        <v>26</v>
      </c>
      <c r="G3" s="8" t="s">
        <v>27</v>
      </c>
      <c r="H3" s="8" t="s">
        <v>28</v>
      </c>
      <c r="I3" s="8" t="s">
        <v>29</v>
      </c>
      <c r="J3" s="8" t="s">
        <v>30</v>
      </c>
      <c r="K3" s="8" t="s">
        <v>31</v>
      </c>
      <c r="L3" s="7" t="s">
        <v>32</v>
      </c>
      <c r="M3" s="7" t="s">
        <v>33</v>
      </c>
      <c r="N3" s="8" t="s">
        <v>34</v>
      </c>
    </row>
    <row r="4" customFormat="false" ht="15" hidden="false" customHeight="false" outlineLevel="0" collapsed="false">
      <c r="A4" s="9" t="s">
        <v>60</v>
      </c>
      <c r="B4" s="9" t="s">
        <v>35</v>
      </c>
      <c r="C4" s="9" t="s">
        <v>36</v>
      </c>
      <c r="D4" s="21" t="n">
        <v>83024.23</v>
      </c>
      <c r="E4" s="21" t="n">
        <v>209.66</v>
      </c>
      <c r="F4" s="21" t="n">
        <v>988.335</v>
      </c>
      <c r="G4" s="21" t="n">
        <v>1134.492</v>
      </c>
      <c r="H4" s="21" t="n">
        <v>1588.876</v>
      </c>
      <c r="I4" s="21" t="n">
        <v>1396.017</v>
      </c>
      <c r="J4" s="21" t="n">
        <v>3707.323</v>
      </c>
      <c r="K4" s="21" t="n">
        <v>3383.619</v>
      </c>
      <c r="L4" s="21" t="n">
        <v>12408.322</v>
      </c>
      <c r="M4" s="11" t="n">
        <v>0.149454235707969</v>
      </c>
      <c r="N4" s="11" t="n">
        <v>0.256620869483135</v>
      </c>
    </row>
    <row r="5" customFormat="false" ht="15" hidden="false" customHeight="false" outlineLevel="0" collapsed="false">
      <c r="A5" s="9" t="s">
        <v>60</v>
      </c>
      <c r="B5" s="9" t="s">
        <v>37</v>
      </c>
      <c r="C5" s="9" t="s">
        <v>36</v>
      </c>
      <c r="D5" s="21" t="n">
        <v>122759.81</v>
      </c>
      <c r="E5" s="21" t="n">
        <v>449.761</v>
      </c>
      <c r="F5" s="21" t="n">
        <v>313.181</v>
      </c>
      <c r="G5" s="21" t="n">
        <v>158.393</v>
      </c>
      <c r="H5" s="21" t="n">
        <v>537.087</v>
      </c>
      <c r="I5" s="21" t="n">
        <v>941.709</v>
      </c>
      <c r="J5" s="21" t="n">
        <v>1375.653</v>
      </c>
      <c r="K5" s="21" t="n">
        <v>1776.702</v>
      </c>
      <c r="L5" s="21" t="n">
        <v>5552.485</v>
      </c>
      <c r="M5" s="11" t="n">
        <v>0.0452304774089346</v>
      </c>
      <c r="N5" s="11" t="n">
        <v>0.0731474345804044</v>
      </c>
    </row>
    <row r="6" customFormat="false" ht="15" hidden="false" customHeight="false" outlineLevel="0" collapsed="false">
      <c r="A6" s="20" t="s">
        <v>61</v>
      </c>
      <c r="B6" s="9" t="s">
        <v>35</v>
      </c>
      <c r="C6" s="9" t="s">
        <v>36</v>
      </c>
      <c r="D6" s="21" t="n">
        <v>64684.7</v>
      </c>
      <c r="E6" s="21" t="n">
        <v>375.115</v>
      </c>
      <c r="F6" s="21" t="n">
        <v>1351.695</v>
      </c>
      <c r="G6" s="21" t="n">
        <v>1457.324</v>
      </c>
      <c r="H6" s="21" t="n">
        <v>1607.612</v>
      </c>
      <c r="I6" s="21" t="n">
        <v>1449.221</v>
      </c>
      <c r="J6" s="21" t="n">
        <v>1204.668</v>
      </c>
      <c r="K6" s="21" t="n">
        <v>2166.451</v>
      </c>
      <c r="L6" s="21" t="n">
        <v>9612.085</v>
      </c>
      <c r="M6" s="11" t="n">
        <v>0.148599033579849</v>
      </c>
      <c r="N6" s="11" t="n">
        <v>0.244416374507204</v>
      </c>
    </row>
    <row r="7" customFormat="false" ht="15" hidden="false" customHeight="false" outlineLevel="0" collapsed="false">
      <c r="A7" s="20" t="s">
        <v>61</v>
      </c>
      <c r="B7" s="9" t="s">
        <v>37</v>
      </c>
      <c r="C7" s="9" t="s">
        <v>36</v>
      </c>
      <c r="D7" s="21" t="n">
        <v>93874.52</v>
      </c>
      <c r="E7" s="21" t="n">
        <v>178.693</v>
      </c>
      <c r="F7" s="21" t="n">
        <v>696.403</v>
      </c>
      <c r="G7" s="21" t="n">
        <v>429.512</v>
      </c>
      <c r="H7" s="21" t="n">
        <v>562.192</v>
      </c>
      <c r="I7" s="21" t="n">
        <v>820.22</v>
      </c>
      <c r="J7" s="21" t="n">
        <v>475.632</v>
      </c>
      <c r="K7" s="21" t="n">
        <v>1007.865</v>
      </c>
      <c r="L7" s="21" t="n">
        <v>4170.516</v>
      </c>
      <c r="M7" s="11" t="n">
        <v>0.0444265016891478</v>
      </c>
      <c r="N7" s="11" t="n">
        <v>0.0595728815228279</v>
      </c>
    </row>
    <row r="8" customFormat="false" ht="15" hidden="false" customHeight="false" outlineLevel="0" collapsed="false">
      <c r="A8" s="20" t="s">
        <v>62</v>
      </c>
      <c r="B8" s="9" t="s">
        <v>35</v>
      </c>
      <c r="C8" s="9" t="s">
        <v>36</v>
      </c>
      <c r="D8" s="21" t="n">
        <v>7634.01</v>
      </c>
      <c r="E8" s="21" t="n">
        <v>45.295</v>
      </c>
      <c r="F8" s="21" t="n">
        <v>253.985</v>
      </c>
      <c r="G8" s="21" t="n">
        <v>138.511</v>
      </c>
      <c r="H8" s="21" t="n">
        <v>380.603</v>
      </c>
      <c r="I8" s="21" t="n">
        <v>224.799</v>
      </c>
      <c r="J8" s="21" t="n">
        <v>107.521</v>
      </c>
      <c r="K8" s="21" t="n">
        <v>89.298</v>
      </c>
      <c r="L8" s="21" t="n">
        <v>1240.011</v>
      </c>
      <c r="M8" s="11" t="n">
        <v>0.162432520489166</v>
      </c>
      <c r="N8" s="11" t="n">
        <v>0.140604403530629</v>
      </c>
    </row>
    <row r="9" customFormat="false" ht="15" hidden="false" customHeight="false" outlineLevel="0" collapsed="false">
      <c r="A9" s="20" t="s">
        <v>62</v>
      </c>
      <c r="B9" s="9" t="s">
        <v>37</v>
      </c>
      <c r="C9" s="9" t="s">
        <v>36</v>
      </c>
      <c r="D9" s="21" t="n">
        <v>8162.76</v>
      </c>
      <c r="E9" s="21" t="n">
        <v>29.11</v>
      </c>
      <c r="F9" s="21" t="n">
        <v>44.253</v>
      </c>
      <c r="G9" s="21" t="n">
        <v>33.871</v>
      </c>
      <c r="H9" s="21" t="n">
        <v>42.361</v>
      </c>
      <c r="I9" s="21" t="n">
        <v>80.543</v>
      </c>
      <c r="J9" s="21" t="n">
        <v>71.289</v>
      </c>
      <c r="K9" s="21" t="n">
        <v>115.77</v>
      </c>
      <c r="L9" s="21" t="n">
        <v>417.197</v>
      </c>
      <c r="M9" s="11" t="n">
        <v>0.0511097233008159</v>
      </c>
      <c r="N9" s="11" t="n">
        <v>0.0625042841487912</v>
      </c>
    </row>
    <row r="10" customFormat="false" ht="15" hidden="false" customHeight="false" outlineLevel="0" collapsed="false">
      <c r="A10" s="12" t="s">
        <v>38</v>
      </c>
      <c r="B10" s="12"/>
      <c r="C10" s="12" t="s">
        <v>36</v>
      </c>
      <c r="D10" s="22" t="n">
        <f aca="false">SUM(D4:D9)</f>
        <v>380140.03</v>
      </c>
      <c r="E10" s="22" t="n">
        <f aca="false">SUM(E4:E9)</f>
        <v>1287.634</v>
      </c>
      <c r="F10" s="22" t="n">
        <f aca="false">SUM(F4:F9)</f>
        <v>3647.852</v>
      </c>
      <c r="G10" s="22" t="n">
        <f aca="false">SUM(G4:G9)</f>
        <v>3352.103</v>
      </c>
      <c r="H10" s="22" t="n">
        <f aca="false">SUM(H4:H9)</f>
        <v>4718.731</v>
      </c>
      <c r="I10" s="22" t="n">
        <f aca="false">SUM(I4:I9)</f>
        <v>4912.509</v>
      </c>
      <c r="J10" s="22" t="n">
        <f aca="false">SUM(J4:J9)</f>
        <v>6942.086</v>
      </c>
      <c r="K10" s="22" t="n">
        <f aca="false">SUM(K4:K9)</f>
        <v>8539.705</v>
      </c>
      <c r="L10" s="22" t="n">
        <f aca="false">SUM(L4:L9)</f>
        <v>33400.616</v>
      </c>
      <c r="M10" s="14" t="n">
        <f aca="false">L10/D10</f>
        <v>0.0878639800181002</v>
      </c>
      <c r="N10" s="14" t="n">
        <f aca="false">K10/D10</f>
        <v>0.0224646296787002</v>
      </c>
    </row>
    <row r="11" customFormat="false" ht="15" hidden="false" customHeight="false" outlineLevel="0" collapsed="false">
      <c r="A11" s="9"/>
      <c r="B11" s="9"/>
      <c r="C11" s="9"/>
      <c r="D11" s="21"/>
      <c r="E11" s="21"/>
      <c r="F11" s="21"/>
      <c r="G11" s="21"/>
      <c r="H11" s="21"/>
      <c r="I11" s="21"/>
      <c r="J11" s="21"/>
      <c r="K11" s="21"/>
      <c r="L11" s="21"/>
      <c r="M11" s="11"/>
      <c r="N11" s="11"/>
    </row>
    <row r="12" customFormat="false" ht="15" hidden="false" customHeight="false" outlineLevel="0" collapsed="false">
      <c r="A12" s="9" t="s">
        <v>60</v>
      </c>
      <c r="B12" s="9" t="s">
        <v>35</v>
      </c>
      <c r="C12" s="9" t="s">
        <v>39</v>
      </c>
      <c r="D12" s="21" t="n">
        <v>83024.23</v>
      </c>
      <c r="E12" s="21" t="n">
        <v>-16.094</v>
      </c>
      <c r="F12" s="21" t="n">
        <v>0</v>
      </c>
      <c r="G12" s="21" t="n">
        <v>0</v>
      </c>
      <c r="H12" s="21" t="n">
        <v>-0.99</v>
      </c>
      <c r="I12" s="21" t="n">
        <v>-0.341</v>
      </c>
      <c r="J12" s="21" t="n">
        <v>-0.039</v>
      </c>
      <c r="K12" s="21" t="n">
        <v>0</v>
      </c>
      <c r="L12" s="21" t="n">
        <v>-17.464</v>
      </c>
      <c r="M12" s="11" t="n">
        <v>-0.000210347329611043</v>
      </c>
      <c r="N12" s="11" t="n">
        <v>0</v>
      </c>
    </row>
    <row r="13" customFormat="false" ht="15" hidden="false" customHeight="false" outlineLevel="0" collapsed="false">
      <c r="A13" s="9" t="s">
        <v>60</v>
      </c>
      <c r="B13" s="9" t="s">
        <v>37</v>
      </c>
      <c r="C13" s="9" t="s">
        <v>39</v>
      </c>
      <c r="D13" s="21" t="n">
        <v>122759.81</v>
      </c>
      <c r="E13" s="21" t="n">
        <v>-145.518</v>
      </c>
      <c r="F13" s="21" t="n">
        <v>-91.449</v>
      </c>
      <c r="G13" s="21" t="n">
        <v>-82.862</v>
      </c>
      <c r="H13" s="21" t="n">
        <v>-93.707</v>
      </c>
      <c r="I13" s="21" t="n">
        <v>-58.751</v>
      </c>
      <c r="J13" s="21" t="n">
        <v>-52.769</v>
      </c>
      <c r="K13" s="21" t="n">
        <v>-83.174</v>
      </c>
      <c r="L13" s="21" t="n">
        <v>-608.23</v>
      </c>
      <c r="M13" s="11" t="n">
        <v>-0.00495463362012748</v>
      </c>
      <c r="N13" s="11" t="n">
        <v>-0.00342430765807896</v>
      </c>
    </row>
    <row r="14" customFormat="false" ht="15" hidden="false" customHeight="false" outlineLevel="0" collapsed="false">
      <c r="A14" s="20" t="s">
        <v>61</v>
      </c>
      <c r="B14" s="9" t="s">
        <v>35</v>
      </c>
      <c r="C14" s="9" t="s">
        <v>39</v>
      </c>
      <c r="D14" s="21" t="n">
        <v>64684.7</v>
      </c>
      <c r="E14" s="21" t="n">
        <v>-32.475</v>
      </c>
      <c r="F14" s="21" t="n">
        <v>-32.863</v>
      </c>
      <c r="G14" s="21" t="n">
        <v>-128.408</v>
      </c>
      <c r="H14" s="21" t="n">
        <v>-113.937</v>
      </c>
      <c r="I14" s="21" t="n">
        <v>-56.125</v>
      </c>
      <c r="J14" s="21" t="n">
        <v>-2.317</v>
      </c>
      <c r="K14" s="21" t="n">
        <v>-3.671</v>
      </c>
      <c r="L14" s="21" t="n">
        <v>-369.796</v>
      </c>
      <c r="M14" s="11" t="n">
        <v>-0.00571690168336988</v>
      </c>
      <c r="N14" s="11" t="n">
        <v>-0.00041411238873126</v>
      </c>
    </row>
    <row r="15" customFormat="false" ht="15" hidden="false" customHeight="false" outlineLevel="0" collapsed="false">
      <c r="A15" s="20" t="s">
        <v>61</v>
      </c>
      <c r="B15" s="9" t="s">
        <v>37</v>
      </c>
      <c r="C15" s="9" t="s">
        <v>39</v>
      </c>
      <c r="D15" s="21" t="n">
        <v>93874.52</v>
      </c>
      <c r="E15" s="21" t="n">
        <v>-212.643</v>
      </c>
      <c r="F15" s="21" t="n">
        <v>-242.22</v>
      </c>
      <c r="G15" s="21" t="n">
        <v>-275.703</v>
      </c>
      <c r="H15" s="21" t="n">
        <v>-570.645</v>
      </c>
      <c r="I15" s="21" t="n">
        <v>-283.019</v>
      </c>
      <c r="J15" s="21" t="n">
        <v>-106.77</v>
      </c>
      <c r="K15" s="21" t="n">
        <v>-306.425</v>
      </c>
      <c r="L15" s="21" t="n">
        <v>-1997.425</v>
      </c>
      <c r="M15" s="11" t="n">
        <v>-0.0212776010112115</v>
      </c>
      <c r="N15" s="11" t="n">
        <v>-0.0181121825186645</v>
      </c>
    </row>
    <row r="16" customFormat="false" ht="15" hidden="false" customHeight="false" outlineLevel="0" collapsed="false">
      <c r="A16" s="20" t="s">
        <v>62</v>
      </c>
      <c r="B16" s="9" t="s">
        <v>35</v>
      </c>
      <c r="C16" s="9" t="s">
        <v>39</v>
      </c>
      <c r="D16" s="21" t="n">
        <v>7634.01</v>
      </c>
      <c r="E16" s="21" t="n">
        <v>-8.654</v>
      </c>
      <c r="F16" s="21" t="n">
        <v>-0.874</v>
      </c>
      <c r="G16" s="21" t="n">
        <v>0</v>
      </c>
      <c r="H16" s="21" t="n">
        <v>-10.538</v>
      </c>
      <c r="I16" s="21" t="n">
        <v>-0.373</v>
      </c>
      <c r="J16" s="21" t="n">
        <v>0</v>
      </c>
      <c r="K16" s="21" t="n">
        <v>-1.734</v>
      </c>
      <c r="L16" s="21" t="n">
        <v>-22.173</v>
      </c>
      <c r="M16" s="11" t="n">
        <v>-0.00290447011144037</v>
      </c>
      <c r="N16" s="11" t="n">
        <v>-0.0027307506560954</v>
      </c>
    </row>
    <row r="17" customFormat="false" ht="15" hidden="false" customHeight="false" outlineLevel="0" collapsed="false">
      <c r="A17" s="20" t="s">
        <v>62</v>
      </c>
      <c r="B17" s="9" t="s">
        <v>37</v>
      </c>
      <c r="C17" s="9" t="s">
        <v>39</v>
      </c>
      <c r="D17" s="21" t="n">
        <v>8162.76</v>
      </c>
      <c r="E17" s="21" t="n">
        <v>-6.588</v>
      </c>
      <c r="F17" s="21" t="n">
        <v>-15.97</v>
      </c>
      <c r="G17" s="21" t="n">
        <v>-18.599</v>
      </c>
      <c r="H17" s="21" t="n">
        <v>-24.192</v>
      </c>
      <c r="I17" s="21" t="n">
        <v>-17.269</v>
      </c>
      <c r="J17" s="21" t="n">
        <v>-5.789</v>
      </c>
      <c r="K17" s="21" t="n">
        <v>-10.419</v>
      </c>
      <c r="L17" s="21" t="n">
        <v>-98.826</v>
      </c>
      <c r="M17" s="11" t="n">
        <v>-0.0121069768343214</v>
      </c>
      <c r="N17" s="11" t="n">
        <v>-0.00562525049524528</v>
      </c>
    </row>
    <row r="18" customFormat="false" ht="15" hidden="false" customHeight="false" outlineLevel="0" collapsed="false">
      <c r="A18" s="17" t="s">
        <v>38</v>
      </c>
      <c r="B18" s="17"/>
      <c r="C18" s="17" t="s">
        <v>39</v>
      </c>
      <c r="D18" s="23" t="n">
        <f aca="false">SUM(D12:D17)</f>
        <v>380140.03</v>
      </c>
      <c r="E18" s="23" t="n">
        <f aca="false">SUM(E12:E17)</f>
        <v>-421.972</v>
      </c>
      <c r="F18" s="23" t="n">
        <f aca="false">SUM(F12:F17)</f>
        <v>-383.376</v>
      </c>
      <c r="G18" s="23" t="n">
        <f aca="false">SUM(G12:G17)</f>
        <v>-505.572</v>
      </c>
      <c r="H18" s="23" t="n">
        <f aca="false">SUM(H12:H17)</f>
        <v>-814.009</v>
      </c>
      <c r="I18" s="23" t="n">
        <f aca="false">SUM(I12:I17)</f>
        <v>-415.878</v>
      </c>
      <c r="J18" s="23" t="n">
        <f aca="false">SUM(J12:J17)</f>
        <v>-167.684</v>
      </c>
      <c r="K18" s="23" t="n">
        <f aca="false">SUM(K12:K17)</f>
        <v>-405.423</v>
      </c>
      <c r="L18" s="23" t="n">
        <f aca="false">SUM(L12:L17)</f>
        <v>-3113.914</v>
      </c>
      <c r="M18" s="19" t="n">
        <f aca="false">L18/D18</f>
        <v>-0.00819149196152797</v>
      </c>
      <c r="N18" s="19" t="n">
        <f aca="false">K18/D18</f>
        <v>-0.00106650962278295</v>
      </c>
    </row>
    <row r="19" customFormat="false" ht="15" hidden="false" customHeight="false" outlineLevel="0" collapsed="false">
      <c r="D19" s="24"/>
      <c r="E19" s="24"/>
      <c r="F19" s="24"/>
      <c r="G19" s="24"/>
      <c r="H19" s="24"/>
      <c r="I19" s="24"/>
      <c r="J19" s="24"/>
      <c r="K19" s="24"/>
      <c r="L19" s="24"/>
      <c r="M19" s="16"/>
      <c r="N19" s="16"/>
    </row>
    <row r="21" customFormat="false" ht="25.5" hidden="false" customHeight="true" outlineLevel="0" collapsed="false">
      <c r="A21" s="6" t="s">
        <v>63</v>
      </c>
      <c r="B21" s="6"/>
      <c r="C21" s="6"/>
      <c r="D21" s="6"/>
      <c r="E21" s="6"/>
      <c r="F21" s="6"/>
      <c r="G21" s="6"/>
      <c r="H21" s="6"/>
      <c r="I21" s="6"/>
      <c r="J21" s="6"/>
      <c r="K21" s="6"/>
      <c r="L21" s="6"/>
      <c r="M21" s="6"/>
      <c r="N21" s="6"/>
    </row>
    <row r="22" customFormat="false" ht="31.5" hidden="false" customHeight="true" outlineLevel="0" collapsed="false">
      <c r="A22" s="7" t="s">
        <v>58</v>
      </c>
      <c r="B22" s="7" t="s">
        <v>24</v>
      </c>
      <c r="C22" s="7" t="s">
        <v>64</v>
      </c>
      <c r="D22" s="7" t="s">
        <v>65</v>
      </c>
      <c r="E22" s="7" t="s">
        <v>66</v>
      </c>
      <c r="F22" s="7" t="s">
        <v>67</v>
      </c>
    </row>
    <row r="23" customFormat="false" ht="15" hidden="false" customHeight="false" outlineLevel="0" collapsed="false">
      <c r="A23" s="9" t="s">
        <v>60</v>
      </c>
      <c r="B23" s="21" t="n">
        <v>205784.03</v>
      </c>
      <c r="C23" s="21" t="n">
        <v>17960.81</v>
      </c>
      <c r="D23" s="21" t="n">
        <v>-625.69</v>
      </c>
      <c r="E23" s="21" t="n">
        <f aca="false">C23+D23</f>
        <v>17335.12</v>
      </c>
      <c r="F23" s="11" t="n">
        <f aca="false">E23/B23</f>
        <v>0.084239384368165</v>
      </c>
    </row>
    <row r="24" customFormat="false" ht="15" hidden="false" customHeight="false" outlineLevel="0" collapsed="false">
      <c r="A24" s="25" t="s">
        <v>61</v>
      </c>
      <c r="B24" s="26" t="n">
        <v>158559.22</v>
      </c>
      <c r="C24" s="26" t="n">
        <v>13782.6</v>
      </c>
      <c r="D24" s="26" t="n">
        <v>-2367.22</v>
      </c>
      <c r="E24" s="26" t="n">
        <f aca="false">C24+D24</f>
        <v>11415.38</v>
      </c>
      <c r="F24" s="27" t="n">
        <f aca="false">E24/B24</f>
        <v>0.0719944258050715</v>
      </c>
    </row>
    <row r="25" customFormat="false" ht="15" hidden="false" customHeight="false" outlineLevel="0" collapsed="false">
      <c r="A25" s="20" t="s">
        <v>62</v>
      </c>
      <c r="B25" s="21" t="n">
        <v>15796.77</v>
      </c>
      <c r="C25" s="21" t="n">
        <v>1657.21</v>
      </c>
      <c r="D25" s="21" t="n">
        <v>-121</v>
      </c>
      <c r="E25" s="21" t="n">
        <f aca="false">C25+D25</f>
        <v>1536.21</v>
      </c>
      <c r="F25" s="11" t="n">
        <f aca="false">E25/B25</f>
        <v>0.097248361532136</v>
      </c>
    </row>
    <row r="28" customFormat="false" ht="25.5" hidden="false" customHeight="true" outlineLevel="0" collapsed="false">
      <c r="A28" s="6" t="s">
        <v>68</v>
      </c>
      <c r="B28" s="6"/>
      <c r="C28" s="6"/>
      <c r="D28" s="6"/>
      <c r="E28" s="6"/>
      <c r="F28" s="6"/>
      <c r="G28" s="6"/>
      <c r="H28" s="6"/>
      <c r="I28" s="6"/>
      <c r="J28" s="6"/>
      <c r="K28" s="6"/>
      <c r="L28" s="6"/>
      <c r="M28" s="6"/>
      <c r="N28" s="6"/>
    </row>
    <row r="29" customFormat="false" ht="31.5" hidden="false" customHeight="true" outlineLevel="0" collapsed="false">
      <c r="A29" s="7" t="s">
        <v>42</v>
      </c>
      <c r="B29" s="7"/>
      <c r="C29" s="7" t="s">
        <v>23</v>
      </c>
      <c r="D29" s="7" t="s">
        <v>24</v>
      </c>
      <c r="E29" s="8" t="s">
        <v>25</v>
      </c>
      <c r="F29" s="8" t="s">
        <v>26</v>
      </c>
      <c r="G29" s="8" t="s">
        <v>27</v>
      </c>
      <c r="H29" s="8" t="s">
        <v>28</v>
      </c>
      <c r="I29" s="8" t="s">
        <v>29</v>
      </c>
      <c r="J29" s="8" t="s">
        <v>30</v>
      </c>
      <c r="K29" s="8" t="s">
        <v>31</v>
      </c>
      <c r="L29" s="7" t="s">
        <v>32</v>
      </c>
      <c r="M29" s="7" t="s">
        <v>33</v>
      </c>
      <c r="N29" s="8" t="s">
        <v>34</v>
      </c>
    </row>
    <row r="30" customFormat="false" ht="15" hidden="false" customHeight="false" outlineLevel="0" collapsed="false">
      <c r="A30" s="20" t="s">
        <v>69</v>
      </c>
      <c r="B30" s="9"/>
      <c r="C30" s="9" t="s">
        <v>36</v>
      </c>
      <c r="D30" s="21" t="n">
        <v>165319.95</v>
      </c>
      <c r="E30" s="21" t="n">
        <v>680.418</v>
      </c>
      <c r="F30" s="21" t="n">
        <v>2237.468</v>
      </c>
      <c r="G30" s="21" t="n">
        <v>2481.231</v>
      </c>
      <c r="H30" s="21" t="n">
        <v>3355.33</v>
      </c>
      <c r="I30" s="21" t="n">
        <v>2655.456</v>
      </c>
      <c r="J30" s="21" t="n">
        <v>5735.486</v>
      </c>
      <c r="K30" s="21" t="n">
        <v>6645.556</v>
      </c>
      <c r="L30" s="21" t="n">
        <v>23790.945</v>
      </c>
      <c r="M30" s="11" t="n">
        <v>0.143908489832196</v>
      </c>
      <c r="N30" s="11" t="n">
        <v>0.236211046236032</v>
      </c>
    </row>
    <row r="31" customFormat="false" ht="15" hidden="false" customHeight="false" outlineLevel="0" collapsed="false">
      <c r="A31" s="20" t="s">
        <v>70</v>
      </c>
      <c r="B31" s="9"/>
      <c r="C31" s="9" t="s">
        <v>36</v>
      </c>
      <c r="D31" s="21" t="n">
        <v>152670.41</v>
      </c>
      <c r="E31" s="21" t="n">
        <v>515.165</v>
      </c>
      <c r="F31" s="21" t="n">
        <v>1348.305</v>
      </c>
      <c r="G31" s="21" t="n">
        <v>698.946</v>
      </c>
      <c r="H31" s="21" t="n">
        <v>1084.374</v>
      </c>
      <c r="I31" s="21" t="n">
        <v>2064.861</v>
      </c>
      <c r="J31" s="21" t="n">
        <v>830.664</v>
      </c>
      <c r="K31" s="21" t="n">
        <v>1749.764</v>
      </c>
      <c r="L31" s="21" t="n">
        <v>8292.079</v>
      </c>
      <c r="M31" s="11" t="n">
        <v>0.0543135952852758</v>
      </c>
      <c r="N31" s="11" t="n">
        <v>0.0607525933269179</v>
      </c>
    </row>
    <row r="32" customFormat="false" ht="15" hidden="false" customHeight="false" outlineLevel="0" collapsed="false">
      <c r="A32" s="20" t="s">
        <v>71</v>
      </c>
      <c r="B32" s="9"/>
      <c r="C32" s="9" t="s">
        <v>36</v>
      </c>
      <c r="D32" s="21" t="n">
        <v>12508.36</v>
      </c>
      <c r="E32" s="21" t="n">
        <v>7.196</v>
      </c>
      <c r="F32" s="21" t="n">
        <v>41.567</v>
      </c>
      <c r="G32" s="21" t="n">
        <v>163.359</v>
      </c>
      <c r="H32" s="21" t="n">
        <v>208.8</v>
      </c>
      <c r="I32" s="21" t="n">
        <v>146.713</v>
      </c>
      <c r="J32" s="21" t="n">
        <v>255.903</v>
      </c>
      <c r="K32" s="21" t="n">
        <v>0</v>
      </c>
      <c r="L32" s="21" t="n">
        <v>823.537</v>
      </c>
      <c r="M32" s="11" t="n">
        <v>0.0658389299266846</v>
      </c>
      <c r="N32" s="11" t="n">
        <v>0</v>
      </c>
    </row>
    <row r="33" customFormat="false" ht="15" hidden="false" customHeight="false" outlineLevel="0" collapsed="false">
      <c r="A33" s="20" t="s">
        <v>72</v>
      </c>
      <c r="B33" s="9"/>
      <c r="C33" s="9" t="s">
        <v>36</v>
      </c>
      <c r="D33" s="21" t="n">
        <v>11425.46</v>
      </c>
      <c r="E33" s="21" t="n">
        <v>0</v>
      </c>
      <c r="F33" s="21" t="n">
        <v>0</v>
      </c>
      <c r="G33" s="21" t="n">
        <v>0</v>
      </c>
      <c r="H33" s="21" t="n">
        <v>0.99</v>
      </c>
      <c r="I33" s="21" t="n">
        <v>5.011</v>
      </c>
      <c r="J33" s="21" t="n">
        <v>2.588</v>
      </c>
      <c r="K33" s="21" t="n">
        <v>24.03</v>
      </c>
      <c r="L33" s="21" t="n">
        <v>32.619</v>
      </c>
      <c r="M33" s="11" t="n">
        <v>0.00285496703899579</v>
      </c>
      <c r="N33" s="11" t="n">
        <v>0.00831820617520365</v>
      </c>
    </row>
    <row r="34" customFormat="false" ht="15" hidden="false" customHeight="false" outlineLevel="0" collapsed="false">
      <c r="A34" s="20" t="s">
        <v>73</v>
      </c>
      <c r="B34" s="9"/>
      <c r="C34" s="9" t="s">
        <v>36</v>
      </c>
      <c r="D34" s="21" t="n">
        <v>7111.78</v>
      </c>
      <c r="E34" s="21" t="n">
        <v>5.29</v>
      </c>
      <c r="F34" s="21" t="n">
        <v>13.63</v>
      </c>
      <c r="G34" s="21" t="n">
        <v>2.517</v>
      </c>
      <c r="H34" s="21" t="n">
        <v>12.132</v>
      </c>
      <c r="I34" s="21" t="n">
        <v>7.744</v>
      </c>
      <c r="J34" s="21" t="n">
        <v>9.163</v>
      </c>
      <c r="K34" s="21" t="n">
        <v>7.145</v>
      </c>
      <c r="L34" s="21" t="n">
        <v>57.621</v>
      </c>
      <c r="M34" s="11" t="n">
        <v>0.00810225575374315</v>
      </c>
      <c r="N34" s="11" t="n">
        <v>0.00569891461201578</v>
      </c>
    </row>
    <row r="35" customFormat="false" ht="15" hidden="false" customHeight="false" outlineLevel="0" collapsed="false">
      <c r="A35" s="20" t="s">
        <v>74</v>
      </c>
      <c r="B35" s="9"/>
      <c r="C35" s="9" t="s">
        <v>36</v>
      </c>
      <c r="D35" s="21" t="n">
        <v>6809.53</v>
      </c>
      <c r="E35" s="21" t="n">
        <v>0</v>
      </c>
      <c r="F35" s="21" t="n">
        <v>0</v>
      </c>
      <c r="G35" s="21" t="n">
        <v>0</v>
      </c>
      <c r="H35" s="21" t="n">
        <v>0</v>
      </c>
      <c r="I35" s="21" t="n">
        <v>0</v>
      </c>
      <c r="J35" s="21" t="n">
        <v>0</v>
      </c>
      <c r="K35" s="21" t="n">
        <v>0</v>
      </c>
      <c r="L35" s="21" t="n">
        <v>0</v>
      </c>
      <c r="M35" s="11" t="n">
        <v>0</v>
      </c>
      <c r="N35" s="11" t="n">
        <v>0</v>
      </c>
    </row>
    <row r="36" customFormat="false" ht="15" hidden="false" customHeight="false" outlineLevel="0" collapsed="false">
      <c r="A36" s="20" t="s">
        <v>75</v>
      </c>
      <c r="B36" s="9"/>
      <c r="C36" s="9" t="s">
        <v>36</v>
      </c>
      <c r="D36" s="21" t="n">
        <v>4802.32</v>
      </c>
      <c r="E36" s="21" t="n">
        <v>0.292</v>
      </c>
      <c r="F36" s="21" t="n">
        <v>0.292</v>
      </c>
      <c r="G36" s="21" t="n">
        <v>0</v>
      </c>
      <c r="H36" s="21" t="n">
        <v>0</v>
      </c>
      <c r="I36" s="21" t="n">
        <v>0.292</v>
      </c>
      <c r="J36" s="21" t="n">
        <v>0</v>
      </c>
      <c r="K36" s="21" t="n">
        <v>0</v>
      </c>
      <c r="L36" s="21" t="n">
        <v>0.875</v>
      </c>
      <c r="M36" s="11" t="n">
        <v>0.000182286774340512</v>
      </c>
      <c r="N36" s="11" t="n">
        <v>0</v>
      </c>
    </row>
    <row r="37" customFormat="false" ht="15" hidden="false" customHeight="false" outlineLevel="0" collapsed="false">
      <c r="A37" s="20" t="s">
        <v>76</v>
      </c>
      <c r="B37" s="9"/>
      <c r="C37" s="9" t="s">
        <v>36</v>
      </c>
      <c r="D37" s="21" t="n">
        <v>3743.29</v>
      </c>
      <c r="E37" s="21" t="n">
        <v>2.292</v>
      </c>
      <c r="F37" s="21" t="n">
        <v>3.205</v>
      </c>
      <c r="G37" s="21" t="n">
        <v>1.233</v>
      </c>
      <c r="H37" s="21" t="n">
        <v>1.683</v>
      </c>
      <c r="I37" s="21" t="n">
        <v>0.639</v>
      </c>
      <c r="J37" s="21" t="n">
        <v>0.123</v>
      </c>
      <c r="K37" s="21" t="n">
        <v>24.419</v>
      </c>
      <c r="L37" s="21" t="n">
        <v>33.594</v>
      </c>
      <c r="M37" s="11" t="n">
        <v>0.00897450274596631</v>
      </c>
      <c r="N37" s="11" t="n">
        <v>0.0352253915396078</v>
      </c>
    </row>
    <row r="38" customFormat="false" ht="15" hidden="false" customHeight="false" outlineLevel="0" collapsed="false">
      <c r="A38" s="20" t="s">
        <v>77</v>
      </c>
      <c r="B38" s="9"/>
      <c r="C38" s="9" t="s">
        <v>36</v>
      </c>
      <c r="D38" s="21" t="n">
        <v>3325.16</v>
      </c>
      <c r="E38" s="21" t="n">
        <v>0</v>
      </c>
      <c r="F38" s="21" t="n">
        <v>0</v>
      </c>
      <c r="G38" s="21" t="n">
        <v>1.441</v>
      </c>
      <c r="H38" s="21" t="n">
        <v>0</v>
      </c>
      <c r="I38" s="21" t="n">
        <v>0.716</v>
      </c>
      <c r="J38" s="21" t="n">
        <v>3.295</v>
      </c>
      <c r="K38" s="21" t="n">
        <v>6</v>
      </c>
      <c r="L38" s="21" t="n">
        <v>11.452</v>
      </c>
      <c r="M38" s="11" t="n">
        <v>0.00344410608467463</v>
      </c>
      <c r="N38" s="11" t="n">
        <v>0.00959215207904836</v>
      </c>
    </row>
    <row r="39" customFormat="false" ht="15" hidden="false" customHeight="false" outlineLevel="0" collapsed="false">
      <c r="A39" s="20" t="s">
        <v>78</v>
      </c>
      <c r="B39" s="9"/>
      <c r="C39" s="9" t="s">
        <v>36</v>
      </c>
      <c r="D39" s="21" t="n">
        <v>2643.97</v>
      </c>
      <c r="E39" s="21" t="n">
        <v>0</v>
      </c>
      <c r="F39" s="21" t="n">
        <v>0</v>
      </c>
      <c r="G39" s="21" t="n">
        <v>0</v>
      </c>
      <c r="H39" s="21" t="n">
        <v>0</v>
      </c>
      <c r="I39" s="21" t="n">
        <v>0</v>
      </c>
      <c r="J39" s="21" t="n">
        <v>0</v>
      </c>
      <c r="K39" s="21" t="n">
        <v>4.156</v>
      </c>
      <c r="L39" s="21" t="n">
        <v>4.156</v>
      </c>
      <c r="M39" s="11" t="n">
        <v>0.00157191510667491</v>
      </c>
      <c r="N39" s="11" t="n">
        <v>0.00959348471254055</v>
      </c>
    </row>
    <row r="40" customFormat="false" ht="15" hidden="false" customHeight="false" outlineLevel="0" collapsed="false">
      <c r="A40" s="20" t="s">
        <v>79</v>
      </c>
      <c r="B40" s="9"/>
      <c r="C40" s="9" t="s">
        <v>36</v>
      </c>
      <c r="D40" s="21" t="n">
        <v>1962.31</v>
      </c>
      <c r="E40" s="21" t="n">
        <v>0.002</v>
      </c>
      <c r="F40" s="21" t="n">
        <v>0.007</v>
      </c>
      <c r="G40" s="21" t="n">
        <v>0.022</v>
      </c>
      <c r="H40" s="21" t="n">
        <v>43.608</v>
      </c>
      <c r="I40" s="21" t="n">
        <v>24.63</v>
      </c>
      <c r="J40" s="21" t="n">
        <v>45.208</v>
      </c>
      <c r="K40" s="21" t="n">
        <v>43.1</v>
      </c>
      <c r="L40" s="21" t="n">
        <v>156.577</v>
      </c>
      <c r="M40" s="11" t="n">
        <v>0.0797925526649704</v>
      </c>
      <c r="N40" s="11" t="n">
        <v>0.123860981639978</v>
      </c>
    </row>
    <row r="41" customFormat="false" ht="15" hidden="false" customHeight="false" outlineLevel="0" collapsed="false">
      <c r="A41" s="12" t="s">
        <v>80</v>
      </c>
      <c r="B41" s="12"/>
      <c r="C41" s="12" t="s">
        <v>36</v>
      </c>
      <c r="D41" s="22" t="n">
        <f aca="false">SUM(D30:D40)</f>
        <v>372322.54</v>
      </c>
      <c r="E41" s="22" t="n">
        <f aca="false">SUM(E30:E40)</f>
        <v>1210.655</v>
      </c>
      <c r="F41" s="22" t="n">
        <f aca="false">SUM(F30:F40)</f>
        <v>3644.474</v>
      </c>
      <c r="G41" s="22" t="n">
        <f aca="false">SUM(G30:G40)</f>
        <v>3348.749</v>
      </c>
      <c r="H41" s="22" t="n">
        <f aca="false">SUM(H30:H40)</f>
        <v>4706.917</v>
      </c>
      <c r="I41" s="22" t="n">
        <f aca="false">SUM(I30:I40)</f>
        <v>4906.062</v>
      </c>
      <c r="J41" s="22" t="n">
        <f aca="false">SUM(J30:J40)</f>
        <v>6882.43</v>
      </c>
      <c r="K41" s="22" t="n">
        <f aca="false">SUM(K30:K40)</f>
        <v>8504.17</v>
      </c>
      <c r="L41" s="22" t="n">
        <f aca="false">SUM(L30:L40)</f>
        <v>33203.455</v>
      </c>
      <c r="M41" s="14" t="n">
        <f aca="false">L41/D41</f>
        <v>0.0891792771933711</v>
      </c>
      <c r="N41" s="14" t="n">
        <f aca="false">K41/D41</f>
        <v>0.0228408680280275</v>
      </c>
    </row>
    <row r="42" customFormat="false" ht="15" hidden="false" customHeight="false" outlineLevel="0" collapsed="false">
      <c r="A42" s="9"/>
      <c r="B42" s="9"/>
      <c r="C42" s="9"/>
      <c r="D42" s="21"/>
      <c r="E42" s="21"/>
      <c r="F42" s="21"/>
      <c r="G42" s="21"/>
      <c r="H42" s="21"/>
      <c r="I42" s="21"/>
      <c r="J42" s="21"/>
      <c r="K42" s="21"/>
      <c r="L42" s="21"/>
      <c r="M42" s="11"/>
      <c r="N42" s="11"/>
    </row>
    <row r="43" customFormat="false" ht="15" hidden="false" customHeight="false" outlineLevel="0" collapsed="false">
      <c r="A43" s="20" t="s">
        <v>69</v>
      </c>
      <c r="B43" s="9"/>
      <c r="C43" s="9" t="s">
        <v>39</v>
      </c>
      <c r="D43" s="21" t="n">
        <v>165319.95</v>
      </c>
      <c r="E43" s="21" t="n">
        <v>-72.049</v>
      </c>
      <c r="F43" s="21" t="n">
        <v>-70.316</v>
      </c>
      <c r="G43" s="21" t="n">
        <v>-34.759</v>
      </c>
      <c r="H43" s="21" t="n">
        <v>-87.612</v>
      </c>
      <c r="I43" s="21" t="n">
        <v>-52.565</v>
      </c>
      <c r="J43" s="21" t="n">
        <v>-43.551</v>
      </c>
      <c r="K43" s="21" t="n">
        <v>-47.757</v>
      </c>
      <c r="L43" s="21" t="n">
        <v>-408.608</v>
      </c>
      <c r="M43" s="11" t="n">
        <v>-0.00247162011333448</v>
      </c>
      <c r="N43" s="11" t="n">
        <v>-0.00169747341882274</v>
      </c>
    </row>
    <row r="44" customFormat="false" ht="15" hidden="false" customHeight="false" outlineLevel="0" collapsed="false">
      <c r="A44" s="20" t="s">
        <v>70</v>
      </c>
      <c r="B44" s="9"/>
      <c r="C44" s="9" t="s">
        <v>39</v>
      </c>
      <c r="D44" s="21" t="n">
        <v>152670.41</v>
      </c>
      <c r="E44" s="21" t="n">
        <v>-235.666</v>
      </c>
      <c r="F44" s="21" t="n">
        <v>-259.922</v>
      </c>
      <c r="G44" s="21" t="n">
        <v>-415.511</v>
      </c>
      <c r="H44" s="21" t="n">
        <v>-697.382</v>
      </c>
      <c r="I44" s="21" t="n">
        <v>-352.67</v>
      </c>
      <c r="J44" s="21" t="n">
        <v>-106.553</v>
      </c>
      <c r="K44" s="21" t="n">
        <v>-326.475</v>
      </c>
      <c r="L44" s="21" t="n">
        <v>-2394.179</v>
      </c>
      <c r="M44" s="11" t="n">
        <v>-0.0156820097559916</v>
      </c>
      <c r="N44" s="11" t="n">
        <v>-0.0113353427756139</v>
      </c>
    </row>
    <row r="45" customFormat="false" ht="15" hidden="false" customHeight="false" outlineLevel="0" collapsed="false">
      <c r="A45" s="20" t="s">
        <v>71</v>
      </c>
      <c r="B45" s="9"/>
      <c r="C45" s="9" t="s">
        <v>39</v>
      </c>
      <c r="D45" s="21" t="n">
        <v>12508.36</v>
      </c>
      <c r="E45" s="21" t="n">
        <v>-0.025</v>
      </c>
      <c r="F45" s="21" t="n">
        <v>-1.089</v>
      </c>
      <c r="G45" s="21" t="n">
        <v>-3.18</v>
      </c>
      <c r="H45" s="21" t="n">
        <v>-7.051</v>
      </c>
      <c r="I45" s="21" t="n">
        <v>-0.254</v>
      </c>
      <c r="J45" s="21" t="n">
        <v>-1.415</v>
      </c>
      <c r="K45" s="21" t="n">
        <v>0</v>
      </c>
      <c r="L45" s="21" t="n">
        <v>-13.014</v>
      </c>
      <c r="M45" s="11" t="n">
        <v>-0.00104046169124296</v>
      </c>
      <c r="N45" s="11" t="n">
        <v>0</v>
      </c>
    </row>
    <row r="46" customFormat="false" ht="15" hidden="false" customHeight="false" outlineLevel="0" collapsed="false">
      <c r="A46" s="20" t="s">
        <v>72</v>
      </c>
      <c r="B46" s="9"/>
      <c r="C46" s="9" t="s">
        <v>39</v>
      </c>
      <c r="D46" s="21" t="n">
        <v>11425.46</v>
      </c>
      <c r="E46" s="21" t="n">
        <v>-19.284</v>
      </c>
      <c r="F46" s="21" t="n">
        <v>-28.056</v>
      </c>
      <c r="G46" s="21" t="n">
        <v>-34.524</v>
      </c>
      <c r="H46" s="21" t="n">
        <v>0</v>
      </c>
      <c r="I46" s="21" t="n">
        <v>0</v>
      </c>
      <c r="J46" s="21" t="n">
        <v>0</v>
      </c>
      <c r="K46" s="21" t="n">
        <v>0</v>
      </c>
      <c r="L46" s="21" t="n">
        <v>-81.864</v>
      </c>
      <c r="M46" s="11" t="n">
        <v>-0.00716505325621186</v>
      </c>
      <c r="N46" s="11" t="n">
        <v>0</v>
      </c>
    </row>
    <row r="47" customFormat="false" ht="15" hidden="false" customHeight="false" outlineLevel="0" collapsed="false">
      <c r="A47" s="20" t="s">
        <v>73</v>
      </c>
      <c r="B47" s="9"/>
      <c r="C47" s="9" t="s">
        <v>39</v>
      </c>
      <c r="D47" s="21" t="n">
        <v>7111.78</v>
      </c>
      <c r="E47" s="21" t="n">
        <v>-0.023</v>
      </c>
      <c r="F47" s="21" t="n">
        <v>0</v>
      </c>
      <c r="G47" s="21" t="n">
        <v>0</v>
      </c>
      <c r="H47" s="21" t="n">
        <v>0</v>
      </c>
      <c r="I47" s="21" t="n">
        <v>0</v>
      </c>
      <c r="J47" s="21" t="n">
        <v>0</v>
      </c>
      <c r="K47" s="21" t="n">
        <v>0</v>
      </c>
      <c r="L47" s="21" t="n">
        <v>-0.023</v>
      </c>
      <c r="M47" s="11" t="n">
        <v>-3.17893251529148E-006</v>
      </c>
      <c r="N47" s="11" t="n">
        <v>0</v>
      </c>
    </row>
    <row r="48" customFormat="false" ht="15" hidden="false" customHeight="false" outlineLevel="0" collapsed="false">
      <c r="A48" s="20" t="s">
        <v>74</v>
      </c>
      <c r="B48" s="9"/>
      <c r="C48" s="9" t="s">
        <v>39</v>
      </c>
      <c r="D48" s="21" t="n">
        <v>6809.53</v>
      </c>
      <c r="E48" s="21" t="n">
        <v>0</v>
      </c>
      <c r="F48" s="21" t="n">
        <v>0</v>
      </c>
      <c r="G48" s="21" t="n">
        <v>0</v>
      </c>
      <c r="H48" s="21" t="n">
        <v>0</v>
      </c>
      <c r="I48" s="21" t="n">
        <v>0</v>
      </c>
      <c r="J48" s="21" t="n">
        <v>0</v>
      </c>
      <c r="K48" s="21" t="n">
        <v>0</v>
      </c>
      <c r="L48" s="21" t="n">
        <v>0</v>
      </c>
      <c r="M48" s="11" t="n">
        <v>0</v>
      </c>
      <c r="N48" s="11" t="n">
        <v>0</v>
      </c>
    </row>
    <row r="49" customFormat="false" ht="15" hidden="false" customHeight="false" outlineLevel="0" collapsed="false">
      <c r="A49" s="20" t="s">
        <v>75</v>
      </c>
      <c r="B49" s="9"/>
      <c r="C49" s="9" t="s">
        <v>39</v>
      </c>
      <c r="D49" s="21" t="n">
        <v>4802.32</v>
      </c>
      <c r="E49" s="21" t="n">
        <v>0</v>
      </c>
      <c r="F49" s="21" t="n">
        <v>0</v>
      </c>
      <c r="G49" s="21" t="n">
        <v>0</v>
      </c>
      <c r="H49" s="21" t="n">
        <v>-0.038</v>
      </c>
      <c r="I49" s="21" t="n">
        <v>0</v>
      </c>
      <c r="J49" s="21" t="n">
        <v>-0.038</v>
      </c>
      <c r="K49" s="21" t="n">
        <v>0</v>
      </c>
      <c r="L49" s="21" t="n">
        <v>-0.077</v>
      </c>
      <c r="M49" s="11" t="n">
        <v>-1.595061333617E-005</v>
      </c>
      <c r="N49" s="11" t="n">
        <v>0</v>
      </c>
    </row>
    <row r="50" customFormat="false" ht="15" hidden="false" customHeight="false" outlineLevel="0" collapsed="false">
      <c r="A50" s="20" t="s">
        <v>76</v>
      </c>
      <c r="B50" s="9"/>
      <c r="C50" s="9" t="s">
        <v>39</v>
      </c>
      <c r="D50" s="21" t="n">
        <v>3743.29</v>
      </c>
      <c r="E50" s="21" t="n">
        <v>-14.495</v>
      </c>
      <c r="F50" s="21" t="n">
        <v>-7.301</v>
      </c>
      <c r="G50" s="21" t="n">
        <v>-10.463</v>
      </c>
      <c r="H50" s="21" t="n">
        <v>-12.118</v>
      </c>
      <c r="I50" s="21" t="n">
        <v>-6.776</v>
      </c>
      <c r="J50" s="21" t="n">
        <v>-8.425</v>
      </c>
      <c r="K50" s="21" t="n">
        <v>-12.697</v>
      </c>
      <c r="L50" s="21" t="n">
        <v>-72.276</v>
      </c>
      <c r="M50" s="11" t="n">
        <v>-0.0193082020311491</v>
      </c>
      <c r="N50" s="11" t="n">
        <v>-0.0183160666577192</v>
      </c>
    </row>
    <row r="51" customFormat="false" ht="15" hidden="false" customHeight="false" outlineLevel="0" collapsed="false">
      <c r="A51" s="20" t="s">
        <v>77</v>
      </c>
      <c r="B51" s="9"/>
      <c r="C51" s="9" t="s">
        <v>39</v>
      </c>
      <c r="D51" s="21" t="n">
        <v>3325.16</v>
      </c>
      <c r="E51" s="21" t="n">
        <v>-3.408</v>
      </c>
      <c r="F51" s="21" t="n">
        <v>-7.695</v>
      </c>
      <c r="G51" s="21" t="n">
        <v>-1.24</v>
      </c>
      <c r="H51" s="21" t="n">
        <v>0</v>
      </c>
      <c r="I51" s="21" t="n">
        <v>-2.52</v>
      </c>
      <c r="J51" s="21" t="n">
        <v>-5.36</v>
      </c>
      <c r="K51" s="21" t="n">
        <v>0</v>
      </c>
      <c r="L51" s="21" t="n">
        <v>-20.222</v>
      </c>
      <c r="M51" s="11" t="n">
        <v>-0.00608160410018301</v>
      </c>
      <c r="N51" s="11" t="n">
        <v>0</v>
      </c>
    </row>
    <row r="52" customFormat="false" ht="15" hidden="false" customHeight="false" outlineLevel="0" collapsed="false">
      <c r="A52" s="20" t="s">
        <v>78</v>
      </c>
      <c r="B52" s="9"/>
      <c r="C52" s="9" t="s">
        <v>39</v>
      </c>
      <c r="D52" s="21" t="n">
        <v>2643.97</v>
      </c>
      <c r="E52" s="21" t="n">
        <v>-3.899</v>
      </c>
      <c r="F52" s="21" t="n">
        <v>-2.497</v>
      </c>
      <c r="G52" s="21" t="n">
        <v>-2.28</v>
      </c>
      <c r="H52" s="21" t="n">
        <v>-1.625</v>
      </c>
      <c r="I52" s="21" t="n">
        <v>-0.473</v>
      </c>
      <c r="J52" s="21" t="n">
        <v>-1.29</v>
      </c>
      <c r="K52" s="21" t="n">
        <v>0</v>
      </c>
      <c r="L52" s="21" t="n">
        <v>-12.064</v>
      </c>
      <c r="M52" s="11" t="n">
        <v>-0.00456275582009691</v>
      </c>
      <c r="N52" s="11" t="n">
        <v>0</v>
      </c>
    </row>
    <row r="53" customFormat="false" ht="15" hidden="false" customHeight="false" outlineLevel="0" collapsed="false">
      <c r="A53" s="20" t="s">
        <v>79</v>
      </c>
      <c r="B53" s="9"/>
      <c r="C53" s="9" t="s">
        <v>39</v>
      </c>
      <c r="D53" s="21" t="n">
        <v>1962.31</v>
      </c>
      <c r="E53" s="21" t="n">
        <v>0</v>
      </c>
      <c r="F53" s="21" t="n">
        <v>0</v>
      </c>
      <c r="G53" s="21" t="n">
        <v>0</v>
      </c>
      <c r="H53" s="21" t="n">
        <v>0</v>
      </c>
      <c r="I53" s="21" t="n">
        <v>0</v>
      </c>
      <c r="J53" s="21" t="n">
        <v>0</v>
      </c>
      <c r="K53" s="21" t="n">
        <v>0</v>
      </c>
      <c r="L53" s="21" t="n">
        <v>0</v>
      </c>
      <c r="M53" s="11" t="n">
        <v>0</v>
      </c>
      <c r="N53" s="11" t="n">
        <v>0</v>
      </c>
    </row>
    <row r="54" customFormat="false" ht="15" hidden="false" customHeight="false" outlineLevel="0" collapsed="false">
      <c r="A54" s="17" t="s">
        <v>80</v>
      </c>
      <c r="B54" s="17"/>
      <c r="C54" s="17" t="s">
        <v>39</v>
      </c>
      <c r="D54" s="23" t="n">
        <f aca="false">SUM(D43:D53)</f>
        <v>372322.54</v>
      </c>
      <c r="E54" s="23" t="n">
        <f aca="false">SUM(E43:E53)</f>
        <v>-348.849</v>
      </c>
      <c r="F54" s="23" t="n">
        <f aca="false">SUM(F43:F53)</f>
        <v>-376.876</v>
      </c>
      <c r="G54" s="23" t="n">
        <f aca="false">SUM(G43:G53)</f>
        <v>-501.957</v>
      </c>
      <c r="H54" s="23" t="n">
        <f aca="false">SUM(H43:H53)</f>
        <v>-805.826</v>
      </c>
      <c r="I54" s="23" t="n">
        <f aca="false">SUM(I43:I53)</f>
        <v>-415.258</v>
      </c>
      <c r="J54" s="23" t="n">
        <f aca="false">SUM(J43:J53)</f>
        <v>-166.632</v>
      </c>
      <c r="K54" s="23" t="n">
        <f aca="false">SUM(K43:K53)</f>
        <v>-386.929</v>
      </c>
      <c r="L54" s="23" t="n">
        <f aca="false">SUM(L43:L53)</f>
        <v>-3002.327</v>
      </c>
      <c r="M54" s="19" t="n">
        <f aca="false">L54/D54</f>
        <v>-0.00806377986140726</v>
      </c>
      <c r="N54" s="19" t="n">
        <f aca="false">K54/D54</f>
        <v>-0.00103923066274741</v>
      </c>
    </row>
    <row r="55" customFormat="false" ht="15" hidden="false" customHeight="false" outlineLevel="0" collapsed="false">
      <c r="D55" s="24"/>
      <c r="E55" s="24"/>
      <c r="F55" s="24"/>
      <c r="G55" s="24"/>
      <c r="H55" s="24"/>
      <c r="I55" s="24"/>
      <c r="J55" s="24"/>
      <c r="K55" s="24"/>
      <c r="L55" s="24"/>
      <c r="M55" s="16"/>
      <c r="N55" s="16"/>
    </row>
    <row r="56" customFormat="false" ht="27.75" hidden="false" customHeight="true" outlineLevel="0" collapsed="false">
      <c r="A56" s="28" t="s">
        <v>81</v>
      </c>
      <c r="B56" s="28"/>
      <c r="C56" s="28"/>
      <c r="D56" s="28"/>
      <c r="E56" s="28"/>
      <c r="F56" s="28"/>
      <c r="G56" s="28"/>
      <c r="H56" s="28"/>
      <c r="I56" s="28"/>
      <c r="J56" s="28"/>
      <c r="K56" s="28"/>
      <c r="L56" s="28"/>
      <c r="M56" s="28"/>
      <c r="N56" s="28"/>
    </row>
  </sheetData>
  <mergeCells count="5">
    <mergeCell ref="A1:N1"/>
    <mergeCell ref="A2:N2"/>
    <mergeCell ref="A21:N21"/>
    <mergeCell ref="A28:N28"/>
    <mergeCell ref="A56:N56"/>
  </mergeCells>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3" min="3" style="0" width="10"/>
    <col collapsed="false" customWidth="true" hidden="false" outlineLevel="0" max="10" min="4" style="0" width="8"/>
    <col collapsed="false" customWidth="true" hidden="false" outlineLevel="0" max="11" min="11" style="0" width="10"/>
    <col collapsed="false" customWidth="true" hidden="false" outlineLevel="0" max="13" min="12" style="0" width="9"/>
  </cols>
  <sheetData>
    <row r="1" customFormat="false" ht="25.5" hidden="false" customHeight="true" outlineLevel="0" collapsed="false">
      <c r="A1" s="6" t="s">
        <v>82</v>
      </c>
      <c r="B1" s="6"/>
      <c r="C1" s="6"/>
      <c r="D1" s="6"/>
      <c r="E1" s="6"/>
      <c r="F1" s="6"/>
      <c r="G1" s="6"/>
      <c r="H1" s="6"/>
      <c r="I1" s="6"/>
      <c r="J1" s="6"/>
      <c r="K1" s="6"/>
      <c r="L1" s="6"/>
      <c r="M1" s="6"/>
    </row>
    <row r="2" customFormat="false" ht="39.75" hidden="false" customHeight="true" outlineLevel="0" collapsed="false">
      <c r="A2" s="2" t="s">
        <v>83</v>
      </c>
      <c r="B2" s="2"/>
      <c r="C2" s="2"/>
      <c r="D2" s="2"/>
      <c r="E2" s="2"/>
      <c r="F2" s="2"/>
      <c r="G2" s="2"/>
      <c r="H2" s="2"/>
      <c r="I2" s="2"/>
      <c r="J2" s="2"/>
      <c r="K2" s="2"/>
      <c r="L2" s="2"/>
      <c r="M2" s="2"/>
    </row>
    <row r="3" customFormat="false" ht="31.5" hidden="false" customHeight="true" outlineLevel="0" collapsed="false">
      <c r="A3" s="7" t="s">
        <v>84</v>
      </c>
      <c r="B3" s="7" t="s">
        <v>23</v>
      </c>
      <c r="C3" s="7" t="s">
        <v>85</v>
      </c>
      <c r="D3" s="8" t="s">
        <v>25</v>
      </c>
      <c r="E3" s="8" t="s">
        <v>26</v>
      </c>
      <c r="F3" s="8" t="s">
        <v>27</v>
      </c>
      <c r="G3" s="8" t="s">
        <v>28</v>
      </c>
      <c r="H3" s="8" t="s">
        <v>29</v>
      </c>
      <c r="I3" s="8" t="s">
        <v>30</v>
      </c>
      <c r="J3" s="8" t="s">
        <v>31</v>
      </c>
      <c r="K3" s="7" t="s">
        <v>32</v>
      </c>
      <c r="L3" s="7" t="s">
        <v>33</v>
      </c>
      <c r="M3" s="8" t="s">
        <v>34</v>
      </c>
    </row>
    <row r="4" customFormat="false" ht="15" hidden="false" customHeight="false" outlineLevel="0" collapsed="false">
      <c r="A4" s="9" t="s">
        <v>86</v>
      </c>
      <c r="B4" s="9" t="s">
        <v>36</v>
      </c>
      <c r="C4" s="10" t="n">
        <v>1039.35</v>
      </c>
      <c r="D4" s="10" t="n">
        <v>1.1654</v>
      </c>
      <c r="E4" s="10" t="n">
        <v>1.1274</v>
      </c>
      <c r="F4" s="10" t="n">
        <v>1.3971</v>
      </c>
      <c r="G4" s="10" t="n">
        <v>1.0725</v>
      </c>
      <c r="H4" s="10" t="n">
        <v>0.9678</v>
      </c>
      <c r="I4" s="10" t="n">
        <v>3.2429</v>
      </c>
      <c r="J4" s="10" t="n">
        <v>8.3068</v>
      </c>
      <c r="K4" s="10" t="n">
        <v>17.2799</v>
      </c>
      <c r="L4" s="11" t="n">
        <v>0.01662565</v>
      </c>
      <c r="M4" s="11" t="n">
        <v>0.05175432</v>
      </c>
    </row>
    <row r="5" customFormat="false" ht="15" hidden="false" customHeight="false" outlineLevel="0" collapsed="false">
      <c r="A5" s="9" t="s">
        <v>87</v>
      </c>
      <c r="B5" s="9" t="s">
        <v>36</v>
      </c>
      <c r="C5" s="10" t="n">
        <v>536.42</v>
      </c>
      <c r="D5" s="10" t="n">
        <v>0.002</v>
      </c>
      <c r="E5" s="10" t="n">
        <v>0.0038</v>
      </c>
      <c r="F5" s="10" t="n">
        <v>0.003</v>
      </c>
      <c r="G5" s="10" t="n">
        <v>0.0066</v>
      </c>
      <c r="H5" s="10" t="n">
        <v>0.0976</v>
      </c>
      <c r="I5" s="10" t="n">
        <v>0.9255</v>
      </c>
      <c r="J5" s="10" t="n">
        <v>1.1819</v>
      </c>
      <c r="K5" s="10" t="n">
        <v>2.2204</v>
      </c>
      <c r="L5" s="11" t="n">
        <v>0.00413928</v>
      </c>
      <c r="M5" s="11" t="n">
        <v>0.01473926</v>
      </c>
    </row>
    <row r="6" customFormat="false" ht="15" hidden="false" customHeight="false" outlineLevel="0" collapsed="false">
      <c r="A6" s="9" t="s">
        <v>88</v>
      </c>
      <c r="B6" s="9" t="s">
        <v>36</v>
      </c>
      <c r="C6" s="10" t="n">
        <v>398.57</v>
      </c>
      <c r="D6" s="10" t="n">
        <v>0.0151</v>
      </c>
      <c r="E6" s="10" t="n">
        <v>0.1792</v>
      </c>
      <c r="F6" s="10" t="n">
        <v>0.0097</v>
      </c>
      <c r="G6" s="10" t="n">
        <v>0.2688</v>
      </c>
      <c r="H6" s="10" t="n">
        <v>1.8512</v>
      </c>
      <c r="I6" s="10" t="n">
        <v>2.1076</v>
      </c>
      <c r="J6" s="10" t="n">
        <v>2.2697</v>
      </c>
      <c r="K6" s="10" t="n">
        <v>6.7014</v>
      </c>
      <c r="L6" s="11" t="n">
        <v>0.01681373</v>
      </c>
      <c r="M6" s="11" t="n">
        <v>0.04359627</v>
      </c>
    </row>
    <row r="7" customFormat="false" ht="15" hidden="false" customHeight="false" outlineLevel="0" collapsed="false">
      <c r="A7" s="9" t="s">
        <v>89</v>
      </c>
      <c r="B7" s="9" t="s">
        <v>36</v>
      </c>
      <c r="C7" s="10" t="n">
        <v>321.86</v>
      </c>
      <c r="D7" s="10" t="n">
        <v>0</v>
      </c>
      <c r="E7" s="10" t="n">
        <v>0</v>
      </c>
      <c r="F7" s="10" t="n">
        <v>0.0541</v>
      </c>
      <c r="G7" s="10" t="n">
        <v>0.3461</v>
      </c>
      <c r="H7" s="10" t="n">
        <v>3.6719</v>
      </c>
      <c r="I7" s="10" t="n">
        <v>5.0573</v>
      </c>
      <c r="J7" s="10" t="n">
        <v>3.3346</v>
      </c>
      <c r="K7" s="10" t="n">
        <v>12.464</v>
      </c>
      <c r="L7" s="11" t="n">
        <v>0.03872461</v>
      </c>
      <c r="M7" s="11" t="n">
        <v>0.07214227</v>
      </c>
    </row>
    <row r="8" customFormat="false" ht="15" hidden="false" customHeight="false" outlineLevel="0" collapsed="false">
      <c r="A8" s="9" t="s">
        <v>90</v>
      </c>
      <c r="B8" s="9" t="s">
        <v>36</v>
      </c>
      <c r="C8" s="10" t="n">
        <v>286.98</v>
      </c>
      <c r="D8" s="10" t="n">
        <v>0.0035</v>
      </c>
      <c r="E8" s="10" t="n">
        <v>0</v>
      </c>
      <c r="F8" s="10" t="n">
        <v>0</v>
      </c>
      <c r="G8" s="10" t="n">
        <v>0</v>
      </c>
      <c r="H8" s="10" t="n">
        <v>0.0017</v>
      </c>
      <c r="I8" s="10" t="n">
        <v>0.0013</v>
      </c>
      <c r="J8" s="10" t="n">
        <v>0.0725</v>
      </c>
      <c r="K8" s="10" t="n">
        <v>0.079</v>
      </c>
      <c r="L8" s="11" t="n">
        <v>0.00027511</v>
      </c>
      <c r="M8" s="11" t="n">
        <v>0.00178289</v>
      </c>
    </row>
    <row r="9" customFormat="false" ht="15" hidden="false" customHeight="false" outlineLevel="0" collapsed="false">
      <c r="A9" s="9" t="s">
        <v>91</v>
      </c>
      <c r="B9" s="9" t="s">
        <v>36</v>
      </c>
      <c r="C9" s="10" t="n">
        <v>153.01</v>
      </c>
      <c r="D9" s="10" t="n">
        <v>0.0002</v>
      </c>
      <c r="E9" s="10" t="n">
        <v>0.018</v>
      </c>
      <c r="F9" s="10" t="n">
        <v>0.0412</v>
      </c>
      <c r="G9" s="10" t="n">
        <v>0.52</v>
      </c>
      <c r="H9" s="10" t="n">
        <v>0.4017</v>
      </c>
      <c r="I9" s="10" t="n">
        <v>0.4855</v>
      </c>
      <c r="J9" s="10" t="n">
        <v>0.5509</v>
      </c>
      <c r="K9" s="10" t="n">
        <v>2.0176</v>
      </c>
      <c r="L9" s="11" t="n">
        <v>0.01318597</v>
      </c>
      <c r="M9" s="11" t="n">
        <v>0.02512965</v>
      </c>
    </row>
    <row r="10" customFormat="false" ht="15" hidden="false" customHeight="false" outlineLevel="0" collapsed="false">
      <c r="A10" s="9" t="s">
        <v>92</v>
      </c>
      <c r="B10" s="9" t="s">
        <v>36</v>
      </c>
      <c r="C10" s="10" t="n">
        <v>1.8</v>
      </c>
      <c r="D10" s="10" t="n">
        <v>0.0108</v>
      </c>
      <c r="E10" s="10" t="n">
        <v>0</v>
      </c>
      <c r="F10" s="10" t="n">
        <v>0</v>
      </c>
      <c r="G10" s="10" t="n">
        <v>0.0145</v>
      </c>
      <c r="H10" s="10" t="n">
        <v>0</v>
      </c>
      <c r="I10" s="10" t="n">
        <v>0</v>
      </c>
      <c r="J10" s="10" t="n">
        <v>0</v>
      </c>
      <c r="K10" s="10" t="n">
        <v>0.0253</v>
      </c>
      <c r="L10" s="11" t="n">
        <v>0.01406605</v>
      </c>
      <c r="M10" s="11" t="n">
        <v>0</v>
      </c>
    </row>
    <row r="11" customFormat="false" ht="15" hidden="false" customHeight="false" outlineLevel="0" collapsed="false">
      <c r="A11" s="12" t="s">
        <v>38</v>
      </c>
      <c r="B11" s="12" t="s">
        <v>36</v>
      </c>
      <c r="C11" s="13" t="n">
        <f aca="false">SUM(C4:C10)</f>
        <v>2737.99</v>
      </c>
      <c r="D11" s="13" t="n">
        <f aca="false">SUM(D4:D10)</f>
        <v>1.197</v>
      </c>
      <c r="E11" s="13" t="n">
        <f aca="false">SUM(E4:E10)</f>
        <v>1.3284</v>
      </c>
      <c r="F11" s="13" t="n">
        <f aca="false">SUM(F4:F10)</f>
        <v>1.5051</v>
      </c>
      <c r="G11" s="13" t="n">
        <f aca="false">SUM(G4:G10)</f>
        <v>2.2285</v>
      </c>
      <c r="H11" s="13" t="n">
        <f aca="false">SUM(H4:H10)</f>
        <v>6.9919</v>
      </c>
      <c r="I11" s="13" t="n">
        <f aca="false">SUM(I4:I10)</f>
        <v>11.8201</v>
      </c>
      <c r="J11" s="13" t="n">
        <f aca="false">SUM(J4:J10)</f>
        <v>15.7164</v>
      </c>
      <c r="K11" s="13" t="n">
        <f aca="false">SUM(K4:K10)</f>
        <v>40.7876</v>
      </c>
      <c r="L11" s="14" t="n">
        <f aca="false">K11/C11</f>
        <v>0.0148969134291944</v>
      </c>
      <c r="M11" s="14" t="n">
        <v>0.03913696</v>
      </c>
    </row>
    <row r="12" customFormat="false" ht="15" hidden="false" customHeight="false" outlineLevel="0" collapsed="false">
      <c r="A12" s="9"/>
      <c r="B12" s="9"/>
      <c r="C12" s="10"/>
      <c r="D12" s="10"/>
      <c r="E12" s="10"/>
      <c r="F12" s="10"/>
      <c r="G12" s="10"/>
      <c r="H12" s="10"/>
      <c r="I12" s="10"/>
      <c r="J12" s="10"/>
      <c r="K12" s="10"/>
      <c r="L12" s="11"/>
      <c r="M12" s="11"/>
    </row>
    <row r="13" customFormat="false" ht="15" hidden="false" customHeight="false" outlineLevel="0" collapsed="false">
      <c r="A13" s="9" t="s">
        <v>86</v>
      </c>
      <c r="B13" s="9" t="s">
        <v>39</v>
      </c>
      <c r="C13" s="10" t="n">
        <v>1039.35</v>
      </c>
      <c r="D13" s="10" t="n">
        <v>0</v>
      </c>
      <c r="E13" s="10" t="n">
        <v>-0.004</v>
      </c>
      <c r="F13" s="10" t="n">
        <v>-0.1467</v>
      </c>
      <c r="G13" s="10" t="n">
        <v>-0.0296</v>
      </c>
      <c r="H13" s="10" t="n">
        <v>-0.1836</v>
      </c>
      <c r="I13" s="10" t="n">
        <v>-0.0363</v>
      </c>
      <c r="J13" s="10" t="n">
        <v>-0.1735</v>
      </c>
      <c r="K13" s="10" t="n">
        <v>-0.5737</v>
      </c>
      <c r="L13" s="11" t="n">
        <v>-0.000552</v>
      </c>
      <c r="M13" s="11" t="n">
        <v>-0.00108115</v>
      </c>
    </row>
    <row r="14" customFormat="false" ht="15" hidden="false" customHeight="false" outlineLevel="0" collapsed="false">
      <c r="A14" s="9" t="s">
        <v>87</v>
      </c>
      <c r="B14" s="9" t="s">
        <v>39</v>
      </c>
      <c r="C14" s="10" t="n">
        <v>536.42</v>
      </c>
      <c r="D14" s="10" t="n">
        <v>-0.0475</v>
      </c>
      <c r="E14" s="10" t="n">
        <v>-0.1098</v>
      </c>
      <c r="F14" s="10" t="n">
        <v>-0.0277</v>
      </c>
      <c r="G14" s="10" t="n">
        <v>-2.3835</v>
      </c>
      <c r="H14" s="10" t="n">
        <v>-1.7868</v>
      </c>
      <c r="I14" s="10" t="n">
        <v>-0.4969</v>
      </c>
      <c r="J14" s="10" t="n">
        <v>-1.9562</v>
      </c>
      <c r="K14" s="10" t="n">
        <v>-6.8084</v>
      </c>
      <c r="L14" s="11" t="n">
        <v>-0.01269227</v>
      </c>
      <c r="M14" s="11" t="n">
        <v>-0.02439419</v>
      </c>
    </row>
    <row r="15" customFormat="false" ht="15" hidden="false" customHeight="false" outlineLevel="0" collapsed="false">
      <c r="A15" s="9" t="s">
        <v>88</v>
      </c>
      <c r="B15" s="9" t="s">
        <v>39</v>
      </c>
      <c r="C15" s="10" t="n">
        <v>398.57</v>
      </c>
      <c r="D15" s="10" t="n">
        <v>-0.0028</v>
      </c>
      <c r="E15" s="10" t="n">
        <v>-0.8594</v>
      </c>
      <c r="F15" s="10" t="n">
        <v>0</v>
      </c>
      <c r="G15" s="10" t="n">
        <v>0</v>
      </c>
      <c r="H15" s="10" t="n">
        <v>-0.0567</v>
      </c>
      <c r="I15" s="10" t="n">
        <v>-0.166</v>
      </c>
      <c r="J15" s="10" t="n">
        <v>-0.0553</v>
      </c>
      <c r="K15" s="10" t="n">
        <v>-1.1402</v>
      </c>
      <c r="L15" s="11" t="n">
        <v>-0.00286088</v>
      </c>
      <c r="M15" s="11" t="n">
        <v>-0.00106269</v>
      </c>
    </row>
    <row r="16" customFormat="false" ht="15" hidden="false" customHeight="false" outlineLevel="0" collapsed="false">
      <c r="A16" s="9" t="s">
        <v>89</v>
      </c>
      <c r="B16" s="9" t="s">
        <v>39</v>
      </c>
      <c r="C16" s="10" t="n">
        <v>321.86</v>
      </c>
      <c r="D16" s="10" t="n">
        <v>-0.611</v>
      </c>
      <c r="E16" s="10" t="n">
        <v>-0.2861</v>
      </c>
      <c r="F16" s="10" t="n">
        <v>-0.2591</v>
      </c>
      <c r="G16" s="10" t="n">
        <v>-0.3837</v>
      </c>
      <c r="H16" s="10" t="n">
        <v>-0.3445</v>
      </c>
      <c r="I16" s="10" t="n">
        <v>-0.4517</v>
      </c>
      <c r="J16" s="10" t="n">
        <v>-0.5561</v>
      </c>
      <c r="K16" s="10" t="n">
        <v>-2.8923</v>
      </c>
      <c r="L16" s="11" t="n">
        <v>-0.00898606</v>
      </c>
      <c r="M16" s="11" t="n">
        <v>-0.01203166</v>
      </c>
    </row>
    <row r="17" customFormat="false" ht="15" hidden="false" customHeight="false" outlineLevel="0" collapsed="false">
      <c r="A17" s="9" t="s">
        <v>90</v>
      </c>
      <c r="B17" s="9" t="s">
        <v>39</v>
      </c>
      <c r="C17" s="10" t="n">
        <v>286.98</v>
      </c>
      <c r="D17" s="10" t="n">
        <v>0</v>
      </c>
      <c r="E17" s="10" t="n">
        <v>0</v>
      </c>
      <c r="F17" s="10" t="n">
        <v>0</v>
      </c>
      <c r="G17" s="10" t="n">
        <v>0</v>
      </c>
      <c r="H17" s="10" t="n">
        <v>0</v>
      </c>
      <c r="I17" s="10" t="n">
        <v>0</v>
      </c>
      <c r="J17" s="10" t="n">
        <v>0</v>
      </c>
      <c r="K17" s="10" t="n">
        <v>0</v>
      </c>
      <c r="L17" s="11" t="n">
        <v>0</v>
      </c>
      <c r="M17" s="11" t="n">
        <v>0</v>
      </c>
    </row>
    <row r="18" customFormat="false" ht="15" hidden="false" customHeight="false" outlineLevel="0" collapsed="false">
      <c r="A18" s="9" t="s">
        <v>91</v>
      </c>
      <c r="B18" s="9" t="s">
        <v>39</v>
      </c>
      <c r="C18" s="10" t="n">
        <v>153.01</v>
      </c>
      <c r="D18" s="10" t="n">
        <v>-0.006</v>
      </c>
      <c r="E18" s="10" t="n">
        <v>-0.0192</v>
      </c>
      <c r="F18" s="10" t="n">
        <v>-0.0486</v>
      </c>
      <c r="G18" s="10" t="n">
        <v>-0.0563</v>
      </c>
      <c r="H18" s="10" t="n">
        <v>-0.0555</v>
      </c>
      <c r="I18" s="10" t="n">
        <v>-0.0026</v>
      </c>
      <c r="J18" s="10" t="n">
        <v>-0.0026</v>
      </c>
      <c r="K18" s="10" t="n">
        <v>-0.191</v>
      </c>
      <c r="L18" s="11" t="n">
        <v>-0.0012485</v>
      </c>
      <c r="M18" s="11" t="n">
        <v>-0.00012079</v>
      </c>
    </row>
    <row r="19" customFormat="false" ht="15" hidden="false" customHeight="false" outlineLevel="0" collapsed="false">
      <c r="A19" s="9" t="s">
        <v>92</v>
      </c>
      <c r="B19" s="9" t="s">
        <v>39</v>
      </c>
      <c r="C19" s="10" t="n">
        <v>1.8</v>
      </c>
      <c r="D19" s="10" t="n">
        <v>-0.3908</v>
      </c>
      <c r="E19" s="10" t="n">
        <v>-0.195</v>
      </c>
      <c r="F19" s="10" t="n">
        <v>-0.3012</v>
      </c>
      <c r="G19" s="10" t="n">
        <v>-0.0993</v>
      </c>
      <c r="H19" s="10" t="n">
        <v>0</v>
      </c>
      <c r="I19" s="10" t="n">
        <v>0</v>
      </c>
      <c r="J19" s="10" t="n">
        <v>0</v>
      </c>
      <c r="K19" s="10" t="n">
        <v>-0.9863</v>
      </c>
      <c r="L19" s="11" t="n">
        <v>-0.54744704</v>
      </c>
      <c r="M19" s="11" t="n">
        <v>0</v>
      </c>
    </row>
    <row r="20" customFormat="false" ht="15" hidden="false" customHeight="false" outlineLevel="0" collapsed="false">
      <c r="A20" s="12" t="s">
        <v>38</v>
      </c>
      <c r="B20" s="12" t="s">
        <v>39</v>
      </c>
      <c r="C20" s="13" t="n">
        <f aca="false">SUM(C13:C19)</f>
        <v>2737.99</v>
      </c>
      <c r="D20" s="13" t="n">
        <f aca="false">SUM(D13:D19)</f>
        <v>-1.0581</v>
      </c>
      <c r="E20" s="13" t="n">
        <f aca="false">SUM(E13:E19)</f>
        <v>-1.4735</v>
      </c>
      <c r="F20" s="13" t="n">
        <f aca="false">SUM(F13:F19)</f>
        <v>-0.7833</v>
      </c>
      <c r="G20" s="13" t="n">
        <f aca="false">SUM(G13:G19)</f>
        <v>-2.9524</v>
      </c>
      <c r="H20" s="13" t="n">
        <f aca="false">SUM(H13:H19)</f>
        <v>-2.4271</v>
      </c>
      <c r="I20" s="13" t="n">
        <f aca="false">SUM(I13:I19)</f>
        <v>-1.1535</v>
      </c>
      <c r="J20" s="13" t="n">
        <f aca="false">SUM(J13:J19)</f>
        <v>-2.7437</v>
      </c>
      <c r="K20" s="13" t="n">
        <f aca="false">SUM(K13:K19)</f>
        <v>-12.5919</v>
      </c>
      <c r="L20" s="14" t="n">
        <f aca="false">K20/C20</f>
        <v>-0.00459895762950194</v>
      </c>
      <c r="M20" s="14" t="n">
        <v>-0.00683255</v>
      </c>
    </row>
    <row r="21" customFormat="false" ht="15" hidden="false" customHeight="false" outlineLevel="0" collapsed="false">
      <c r="C21" s="15"/>
      <c r="D21" s="15"/>
      <c r="E21" s="15"/>
      <c r="F21" s="15"/>
      <c r="G21" s="15"/>
      <c r="H21" s="15"/>
      <c r="I21" s="15"/>
      <c r="J21" s="15"/>
      <c r="K21" s="15"/>
      <c r="L21" s="16"/>
      <c r="M21" s="16"/>
    </row>
    <row r="22" customFormat="false" ht="15" hidden="false" customHeight="false" outlineLevel="0" collapsed="false">
      <c r="A22" s="17" t="s">
        <v>93</v>
      </c>
      <c r="B22" s="17"/>
      <c r="C22" s="18" t="n">
        <f aca="false">C11</f>
        <v>2737.99</v>
      </c>
      <c r="D22" s="18" t="n">
        <f aca="false">D11+D20</f>
        <v>0.1389</v>
      </c>
      <c r="E22" s="18" t="n">
        <f aca="false">E11+E20</f>
        <v>-0.1451</v>
      </c>
      <c r="F22" s="18" t="n">
        <f aca="false">F11+F20</f>
        <v>0.7218</v>
      </c>
      <c r="G22" s="18" t="n">
        <f aca="false">G11+G20</f>
        <v>-0.7239</v>
      </c>
      <c r="H22" s="18" t="n">
        <f aca="false">H11+H20</f>
        <v>4.5648</v>
      </c>
      <c r="I22" s="18" t="n">
        <f aca="false">I11+I20</f>
        <v>10.6666</v>
      </c>
      <c r="J22" s="18" t="n">
        <f aca="false">J11+J20</f>
        <v>12.9727</v>
      </c>
      <c r="K22" s="18" t="n">
        <f aca="false">K11+K20</f>
        <v>28.1957</v>
      </c>
      <c r="L22" s="19" t="n">
        <f aca="false">K22/C11</f>
        <v>0.0102979557996925</v>
      </c>
      <c r="M22" s="19" t="n">
        <v>0.03230441</v>
      </c>
    </row>
    <row r="23" customFormat="false" ht="31.5" hidden="false" customHeight="true" outlineLevel="0" collapsed="false">
      <c r="A23" s="2" t="s">
        <v>94</v>
      </c>
      <c r="B23" s="2"/>
      <c r="C23" s="2"/>
      <c r="D23" s="2"/>
      <c r="E23" s="2"/>
      <c r="F23" s="2"/>
      <c r="G23" s="2"/>
      <c r="H23" s="2"/>
      <c r="I23" s="2"/>
      <c r="J23" s="2"/>
      <c r="K23" s="2"/>
      <c r="L23" s="2"/>
      <c r="M23" s="2"/>
    </row>
  </sheetData>
  <mergeCells count="3">
    <mergeCell ref="A1:M1"/>
    <mergeCell ref="A2:M2"/>
    <mergeCell ref="A23:M23"/>
  </mergeCells>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3" min="2" style="0" width="11"/>
    <col collapsed="false" customWidth="true" hidden="false" outlineLevel="0" max="10" min="4" style="0" width="9"/>
    <col collapsed="false" customWidth="true" hidden="false" outlineLevel="0" max="11" min="11" style="0" width="10"/>
    <col collapsed="false" customWidth="true" hidden="false" outlineLevel="0" max="13" min="12" style="0" width="9"/>
  </cols>
  <sheetData>
    <row r="1" customFormat="false" ht="25.5" hidden="false" customHeight="true" outlineLevel="0" collapsed="false">
      <c r="A1" s="6" t="s">
        <v>95</v>
      </c>
      <c r="B1" s="6"/>
      <c r="C1" s="6"/>
      <c r="D1" s="6"/>
      <c r="E1" s="6"/>
      <c r="F1" s="6"/>
      <c r="G1" s="6"/>
      <c r="H1" s="6"/>
      <c r="I1" s="6"/>
      <c r="J1" s="6"/>
      <c r="K1" s="6"/>
      <c r="L1" s="6"/>
      <c r="M1" s="6"/>
    </row>
    <row r="2" customFormat="false" ht="31.5" hidden="false" customHeight="true" outlineLevel="0" collapsed="false">
      <c r="A2" s="2" t="s">
        <v>96</v>
      </c>
      <c r="B2" s="2"/>
      <c r="C2" s="2"/>
      <c r="D2" s="2"/>
      <c r="E2" s="2"/>
      <c r="F2" s="2"/>
      <c r="G2" s="2"/>
      <c r="H2" s="2"/>
      <c r="I2" s="2"/>
      <c r="J2" s="2"/>
      <c r="K2" s="2"/>
      <c r="L2" s="2"/>
      <c r="M2" s="2"/>
    </row>
    <row r="3" customFormat="false" ht="31.5" hidden="false" customHeight="true" outlineLevel="0" collapsed="false">
      <c r="A3" s="7" t="s">
        <v>58</v>
      </c>
      <c r="B3" s="7" t="s">
        <v>23</v>
      </c>
      <c r="C3" s="7" t="s">
        <v>85</v>
      </c>
      <c r="D3" s="8" t="s">
        <v>25</v>
      </c>
      <c r="E3" s="8" t="s">
        <v>26</v>
      </c>
      <c r="F3" s="8" t="s">
        <v>27</v>
      </c>
      <c r="G3" s="8" t="s">
        <v>28</v>
      </c>
      <c r="H3" s="8" t="s">
        <v>29</v>
      </c>
      <c r="I3" s="8" t="s">
        <v>30</v>
      </c>
      <c r="J3" s="8" t="s">
        <v>31</v>
      </c>
      <c r="K3" s="7" t="s">
        <v>32</v>
      </c>
      <c r="L3" s="7" t="s">
        <v>33</v>
      </c>
      <c r="M3" s="8" t="s">
        <v>34</v>
      </c>
    </row>
    <row r="4" customFormat="false" ht="15" hidden="false" customHeight="false" outlineLevel="0" collapsed="false">
      <c r="A4" s="9" t="s">
        <v>60</v>
      </c>
      <c r="B4" s="9" t="s">
        <v>36</v>
      </c>
      <c r="C4" s="21" t="n">
        <v>276675.03</v>
      </c>
      <c r="D4" s="21" t="n">
        <v>274.553</v>
      </c>
      <c r="E4" s="21" t="n">
        <v>304.489</v>
      </c>
      <c r="F4" s="21" t="n">
        <v>238.576</v>
      </c>
      <c r="G4" s="21" t="n">
        <v>728.213</v>
      </c>
      <c r="H4" s="21" t="n">
        <v>691.118</v>
      </c>
      <c r="I4" s="21" t="n">
        <v>833.137</v>
      </c>
      <c r="J4" s="21" t="n">
        <v>2443.163</v>
      </c>
      <c r="K4" s="21" t="n">
        <v>5513.249</v>
      </c>
      <c r="L4" s="11" t="n">
        <v>0.0199268044551198</v>
      </c>
      <c r="M4" s="11" t="n">
        <v>0.048363740859105</v>
      </c>
    </row>
    <row r="5" customFormat="false" ht="15" hidden="false" customHeight="false" outlineLevel="0" collapsed="false">
      <c r="A5" s="20" t="s">
        <v>61</v>
      </c>
      <c r="B5" s="9" t="s">
        <v>36</v>
      </c>
      <c r="C5" s="21" t="n">
        <v>206328.53</v>
      </c>
      <c r="D5" s="21" t="n">
        <v>2.716</v>
      </c>
      <c r="E5" s="21" t="n">
        <v>379.61</v>
      </c>
      <c r="F5" s="21" t="n">
        <v>36.124</v>
      </c>
      <c r="G5" s="21" t="n">
        <v>16.792</v>
      </c>
      <c r="H5" s="21" t="n">
        <v>605.218</v>
      </c>
      <c r="I5" s="21" t="n">
        <v>1064.412</v>
      </c>
      <c r="J5" s="21" t="n">
        <v>2651.727</v>
      </c>
      <c r="K5" s="21" t="n">
        <v>4756.599</v>
      </c>
      <c r="L5" s="11" t="n">
        <v>0.0230535217304044</v>
      </c>
      <c r="M5" s="11" t="n">
        <v>0.0791716889307494</v>
      </c>
    </row>
    <row r="6" customFormat="false" ht="15" hidden="false" customHeight="false" outlineLevel="0" collapsed="false">
      <c r="A6" s="20" t="s">
        <v>62</v>
      </c>
      <c r="B6" s="9" t="s">
        <v>36</v>
      </c>
      <c r="C6" s="21" t="n">
        <v>26743.26</v>
      </c>
      <c r="D6" s="21" t="n">
        <v>0</v>
      </c>
      <c r="E6" s="21" t="n">
        <v>17.592</v>
      </c>
      <c r="F6" s="21" t="n">
        <v>15.521</v>
      </c>
      <c r="G6" s="21" t="n">
        <v>64.765</v>
      </c>
      <c r="H6" s="21" t="n">
        <v>22.392</v>
      </c>
      <c r="I6" s="21" t="n">
        <v>44.458</v>
      </c>
      <c r="J6" s="21" t="n">
        <v>72.614</v>
      </c>
      <c r="K6" s="21" t="n">
        <v>237.341</v>
      </c>
      <c r="L6" s="11" t="n">
        <v>0.0088748011632474</v>
      </c>
      <c r="M6" s="11" t="n">
        <v>0.015691388047597</v>
      </c>
    </row>
    <row r="7" customFormat="false" ht="15" hidden="false" customHeight="false" outlineLevel="0" collapsed="false">
      <c r="A7" s="12" t="s">
        <v>38</v>
      </c>
      <c r="B7" s="12" t="s">
        <v>36</v>
      </c>
      <c r="C7" s="22" t="n">
        <f aca="false">SUM(C4:C6)</f>
        <v>509746.82</v>
      </c>
      <c r="D7" s="22" t="n">
        <f aca="false">SUM(D4:D6)</f>
        <v>277.269</v>
      </c>
      <c r="E7" s="22" t="n">
        <f aca="false">SUM(E4:E6)</f>
        <v>701.691</v>
      </c>
      <c r="F7" s="22" t="n">
        <f aca="false">SUM(F4:F6)</f>
        <v>290.221</v>
      </c>
      <c r="G7" s="22" t="n">
        <f aca="false">SUM(G4:G6)</f>
        <v>809.77</v>
      </c>
      <c r="H7" s="22" t="n">
        <f aca="false">SUM(H4:H6)</f>
        <v>1318.728</v>
      </c>
      <c r="I7" s="22" t="n">
        <f aca="false">SUM(I4:I6)</f>
        <v>1942.007</v>
      </c>
      <c r="J7" s="22" t="n">
        <f aca="false">SUM(J4:J6)</f>
        <v>5167.504</v>
      </c>
      <c r="K7" s="22" t="n">
        <f aca="false">SUM(K4:K6)</f>
        <v>10507.189</v>
      </c>
      <c r="L7" s="14" t="n">
        <f aca="false">K7/C7</f>
        <v>0.020612564096035</v>
      </c>
      <c r="M7" s="14" t="n">
        <f aca="false">J7/C7</f>
        <v>0.0101373933043859</v>
      </c>
    </row>
    <row r="8" customFormat="false" ht="15" hidden="false" customHeight="false" outlineLevel="0" collapsed="false">
      <c r="A8" s="9"/>
      <c r="B8" s="9"/>
      <c r="C8" s="21"/>
      <c r="D8" s="21"/>
      <c r="E8" s="21"/>
      <c r="F8" s="21"/>
      <c r="G8" s="21"/>
      <c r="H8" s="21"/>
      <c r="I8" s="21"/>
      <c r="J8" s="21"/>
      <c r="K8" s="21"/>
      <c r="L8" s="11"/>
      <c r="M8" s="11"/>
    </row>
    <row r="9" customFormat="false" ht="15" hidden="false" customHeight="false" outlineLevel="0" collapsed="false">
      <c r="A9" s="9" t="s">
        <v>60</v>
      </c>
      <c r="B9" s="9" t="s">
        <v>39</v>
      </c>
      <c r="C9" s="21" t="n">
        <v>276675.03</v>
      </c>
      <c r="D9" s="21" t="n">
        <v>-288.141</v>
      </c>
      <c r="E9" s="21" t="n">
        <v>-334.959</v>
      </c>
      <c r="F9" s="21" t="n">
        <v>-204.043</v>
      </c>
      <c r="G9" s="21" t="n">
        <v>-196.328</v>
      </c>
      <c r="H9" s="21" t="n">
        <v>-166.875</v>
      </c>
      <c r="I9" s="21" t="n">
        <v>-144.431</v>
      </c>
      <c r="J9" s="21" t="n">
        <v>-178.776</v>
      </c>
      <c r="K9" s="21" t="n">
        <v>-1513.553</v>
      </c>
      <c r="L9" s="11" t="n">
        <v>-0.00547050642305249</v>
      </c>
      <c r="M9" s="11" t="n">
        <v>-0.00353897555947609</v>
      </c>
    </row>
    <row r="10" customFormat="false" ht="15" hidden="false" customHeight="false" outlineLevel="0" collapsed="false">
      <c r="A10" s="20" t="s">
        <v>61</v>
      </c>
      <c r="B10" s="9" t="s">
        <v>39</v>
      </c>
      <c r="C10" s="21" t="n">
        <v>206328.53</v>
      </c>
      <c r="D10" s="21" t="n">
        <v>-180.554</v>
      </c>
      <c r="E10" s="21" t="n">
        <v>-27.029</v>
      </c>
      <c r="F10" s="21" t="n">
        <v>-156.097</v>
      </c>
      <c r="G10" s="21" t="n">
        <v>-191.594</v>
      </c>
      <c r="H10" s="21" t="n">
        <v>-36.467</v>
      </c>
      <c r="I10" s="21" t="n">
        <v>-86.486</v>
      </c>
      <c r="J10" s="21" t="n">
        <v>-1523.877</v>
      </c>
      <c r="K10" s="21" t="n">
        <v>-2202.105</v>
      </c>
      <c r="L10" s="11" t="n">
        <v>-0.0106728067910701</v>
      </c>
      <c r="M10" s="11" t="n">
        <v>-0.0454978521947697</v>
      </c>
    </row>
    <row r="11" customFormat="false" ht="15" hidden="false" customHeight="false" outlineLevel="0" collapsed="false">
      <c r="A11" s="20" t="s">
        <v>62</v>
      </c>
      <c r="B11" s="9" t="s">
        <v>39</v>
      </c>
      <c r="C11" s="21" t="n">
        <v>26743.26</v>
      </c>
      <c r="D11" s="21" t="n">
        <v>0</v>
      </c>
      <c r="E11" s="21" t="n">
        <v>0</v>
      </c>
      <c r="F11" s="21" t="n">
        <v>0</v>
      </c>
      <c r="G11" s="21" t="n">
        <v>-6.17</v>
      </c>
      <c r="H11" s="21" t="n">
        <v>-5.675</v>
      </c>
      <c r="I11" s="21" t="n">
        <v>-14.214</v>
      </c>
      <c r="J11" s="21" t="n">
        <v>-13.19</v>
      </c>
      <c r="K11" s="21" t="n">
        <v>-39.249</v>
      </c>
      <c r="L11" s="11" t="n">
        <v>-0.00146761436310183</v>
      </c>
      <c r="M11" s="11" t="n">
        <v>-0.00285036890731539</v>
      </c>
    </row>
    <row r="12" customFormat="false" ht="15" hidden="false" customHeight="false" outlineLevel="0" collapsed="false">
      <c r="A12" s="17" t="s">
        <v>38</v>
      </c>
      <c r="B12" s="17" t="s">
        <v>39</v>
      </c>
      <c r="C12" s="23" t="n">
        <f aca="false">SUM(C9:C11)</f>
        <v>509746.82</v>
      </c>
      <c r="D12" s="23" t="n">
        <f aca="false">SUM(D9:D11)</f>
        <v>-468.695</v>
      </c>
      <c r="E12" s="23" t="n">
        <f aca="false">SUM(E9:E11)</f>
        <v>-361.988</v>
      </c>
      <c r="F12" s="23" t="n">
        <f aca="false">SUM(F9:F11)</f>
        <v>-360.14</v>
      </c>
      <c r="G12" s="23" t="n">
        <f aca="false">SUM(G9:G11)</f>
        <v>-394.092</v>
      </c>
      <c r="H12" s="23" t="n">
        <f aca="false">SUM(H9:H11)</f>
        <v>-209.017</v>
      </c>
      <c r="I12" s="23" t="n">
        <f aca="false">SUM(I9:I11)</f>
        <v>-245.131</v>
      </c>
      <c r="J12" s="23" t="n">
        <f aca="false">SUM(J9:J11)</f>
        <v>-1715.843</v>
      </c>
      <c r="K12" s="23" t="n">
        <f aca="false">SUM(K9:K11)</f>
        <v>-3754.907</v>
      </c>
      <c r="L12" s="19" t="n">
        <f aca="false">K12/C12</f>
        <v>-0.00736621956758848</v>
      </c>
      <c r="M12" s="19" t="n">
        <f aca="false">J12/C12</f>
        <v>-0.00336606906149998</v>
      </c>
    </row>
    <row r="13" customFormat="false" ht="15" hidden="false" customHeight="false" outlineLevel="0" collapsed="false">
      <c r="C13" s="24"/>
      <c r="D13" s="24"/>
      <c r="E13" s="24"/>
      <c r="F13" s="24"/>
      <c r="G13" s="24"/>
      <c r="H13" s="24"/>
      <c r="I13" s="24"/>
      <c r="J13" s="24"/>
      <c r="K13" s="24"/>
      <c r="L13" s="16"/>
      <c r="M13" s="16"/>
    </row>
    <row r="15" customFormat="false" ht="25.5" hidden="false" customHeight="true" outlineLevel="0" collapsed="false">
      <c r="A15" s="6" t="s">
        <v>97</v>
      </c>
      <c r="B15" s="6"/>
      <c r="C15" s="6"/>
      <c r="D15" s="6"/>
      <c r="E15" s="6"/>
      <c r="F15" s="6"/>
      <c r="G15" s="6"/>
      <c r="H15" s="6"/>
      <c r="I15" s="6"/>
      <c r="J15" s="6"/>
      <c r="K15" s="6"/>
      <c r="L15" s="6"/>
      <c r="M15" s="6"/>
    </row>
    <row r="16" customFormat="false" ht="31.5" hidden="false" customHeight="true" outlineLevel="0" collapsed="false">
      <c r="A16" s="7" t="s">
        <v>58</v>
      </c>
      <c r="B16" s="7" t="s">
        <v>98</v>
      </c>
      <c r="C16" s="7" t="s">
        <v>99</v>
      </c>
      <c r="D16" s="7" t="s">
        <v>100</v>
      </c>
      <c r="E16" s="7" t="s">
        <v>101</v>
      </c>
      <c r="F16" s="7" t="s">
        <v>102</v>
      </c>
      <c r="G16" s="7" t="s">
        <v>103</v>
      </c>
    </row>
    <row r="17" customFormat="false" ht="15" hidden="false" customHeight="false" outlineLevel="0" collapsed="false">
      <c r="A17" s="9" t="s">
        <v>60</v>
      </c>
      <c r="B17" s="21" t="n">
        <v>205784</v>
      </c>
      <c r="C17" s="21" t="n">
        <v>17335.1</v>
      </c>
      <c r="D17" s="11" t="n">
        <v>0.0842393504041641</v>
      </c>
      <c r="E17" s="21" t="n">
        <v>276675</v>
      </c>
      <c r="F17" s="21" t="n">
        <v>3999.7</v>
      </c>
      <c r="G17" s="11" t="n">
        <v>0.0144562980320674</v>
      </c>
    </row>
    <row r="18" customFormat="false" ht="15" hidden="false" customHeight="false" outlineLevel="0" collapsed="false">
      <c r="A18" s="25" t="s">
        <v>61</v>
      </c>
      <c r="B18" s="26" t="n">
        <v>158559.2</v>
      </c>
      <c r="C18" s="26" t="n">
        <v>11415.4</v>
      </c>
      <c r="D18" s="27" t="n">
        <v>0.0719944274536857</v>
      </c>
      <c r="E18" s="26" t="n">
        <v>206328.5</v>
      </c>
      <c r="F18" s="26" t="n">
        <v>2554.5</v>
      </c>
      <c r="G18" s="27" t="n">
        <v>0.0123807149393343</v>
      </c>
    </row>
    <row r="19" customFormat="false" ht="15" hidden="false" customHeight="false" outlineLevel="0" collapsed="false">
      <c r="A19" s="20" t="s">
        <v>62</v>
      </c>
      <c r="B19" s="21" t="n">
        <v>15796.8</v>
      </c>
      <c r="C19" s="21" t="n">
        <v>1536.2</v>
      </c>
      <c r="D19" s="11" t="n">
        <v>0.0972482702883026</v>
      </c>
      <c r="E19" s="21" t="n">
        <v>26743.3</v>
      </c>
      <c r="F19" s="21" t="n">
        <v>198.1</v>
      </c>
      <c r="G19" s="11" t="n">
        <v>0.00740718680014557</v>
      </c>
    </row>
    <row r="20" customFormat="false" ht="15" hidden="false" customHeight="false" outlineLevel="0" collapsed="false">
      <c r="A20" s="29" t="s">
        <v>104</v>
      </c>
      <c r="B20" s="26" t="n">
        <v>380140</v>
      </c>
      <c r="C20" s="26" t="n">
        <v>30286.7</v>
      </c>
      <c r="D20" s="27" t="n">
        <v>0.0796724898404349</v>
      </c>
      <c r="E20" s="26" t="n">
        <v>509746.8</v>
      </c>
      <c r="F20" s="26" t="n">
        <v>6752.3</v>
      </c>
      <c r="G20" s="27" t="n">
        <v>0.0132463479311011</v>
      </c>
    </row>
    <row r="22" customFormat="false" ht="27.75" hidden="false" customHeight="true" outlineLevel="0" collapsed="false">
      <c r="A22" s="2" t="s">
        <v>105</v>
      </c>
      <c r="B22" s="2"/>
      <c r="C22" s="2"/>
      <c r="D22" s="2"/>
      <c r="E22" s="2"/>
      <c r="F22" s="2"/>
      <c r="G22" s="2"/>
      <c r="H22" s="2"/>
      <c r="I22" s="2"/>
      <c r="J22" s="2"/>
      <c r="K22" s="2"/>
      <c r="L22" s="2"/>
      <c r="M22" s="2"/>
    </row>
    <row r="24" customFormat="false" ht="25.5" hidden="false" customHeight="true" outlineLevel="0" collapsed="false">
      <c r="A24" s="6" t="s">
        <v>106</v>
      </c>
      <c r="B24" s="6"/>
      <c r="C24" s="6"/>
      <c r="D24" s="6"/>
      <c r="E24" s="6"/>
      <c r="F24" s="6"/>
      <c r="G24" s="6"/>
      <c r="H24" s="6"/>
      <c r="I24" s="6"/>
      <c r="J24" s="6"/>
      <c r="K24" s="6"/>
      <c r="L24" s="6"/>
      <c r="M24" s="6"/>
    </row>
    <row r="25" customFormat="false" ht="31.5" hidden="false" customHeight="true" outlineLevel="0" collapsed="false">
      <c r="A25" s="7" t="s">
        <v>107</v>
      </c>
      <c r="B25" s="7" t="s">
        <v>23</v>
      </c>
      <c r="C25" s="7" t="s">
        <v>85</v>
      </c>
      <c r="D25" s="8" t="s">
        <v>25</v>
      </c>
      <c r="E25" s="8" t="s">
        <v>26</v>
      </c>
      <c r="F25" s="8" t="s">
        <v>27</v>
      </c>
      <c r="G25" s="8" t="s">
        <v>28</v>
      </c>
      <c r="H25" s="8" t="s">
        <v>29</v>
      </c>
      <c r="I25" s="8" t="s">
        <v>30</v>
      </c>
      <c r="J25" s="8" t="s">
        <v>31</v>
      </c>
      <c r="K25" s="7" t="s">
        <v>32</v>
      </c>
      <c r="L25" s="7" t="s">
        <v>33</v>
      </c>
      <c r="M25" s="8" t="s">
        <v>34</v>
      </c>
    </row>
    <row r="26" customFormat="false" ht="15" hidden="false" customHeight="false" outlineLevel="0" collapsed="false">
      <c r="A26" s="20" t="s">
        <v>108</v>
      </c>
      <c r="B26" s="9" t="s">
        <v>36</v>
      </c>
      <c r="C26" s="21" t="n">
        <v>211685.28</v>
      </c>
      <c r="D26" s="21" t="n">
        <v>244.182</v>
      </c>
      <c r="E26" s="21" t="n">
        <v>260.874</v>
      </c>
      <c r="F26" s="21" t="n">
        <v>201.612</v>
      </c>
      <c r="G26" s="21" t="n">
        <v>624.761</v>
      </c>
      <c r="H26" s="21" t="n">
        <v>576.787</v>
      </c>
      <c r="I26" s="21" t="n">
        <v>669.418</v>
      </c>
      <c r="J26" s="21" t="n">
        <v>2078.744</v>
      </c>
      <c r="K26" s="21" t="n">
        <v>4656.378</v>
      </c>
      <c r="L26" s="11" t="n">
        <v>0.0219967007003901</v>
      </c>
      <c r="M26" s="11" t="n">
        <v>0.0533502382980485</v>
      </c>
    </row>
    <row r="27" customFormat="false" ht="15" hidden="false" customHeight="false" outlineLevel="0" collapsed="false">
      <c r="A27" s="20" t="s">
        <v>109</v>
      </c>
      <c r="B27" s="9" t="s">
        <v>36</v>
      </c>
      <c r="C27" s="21" t="n">
        <v>205695.35</v>
      </c>
      <c r="D27" s="21" t="n">
        <v>2.387</v>
      </c>
      <c r="E27" s="21" t="n">
        <v>379.073</v>
      </c>
      <c r="F27" s="21" t="n">
        <v>35.41</v>
      </c>
      <c r="G27" s="21" t="n">
        <v>14.781</v>
      </c>
      <c r="H27" s="21" t="n">
        <v>603.292</v>
      </c>
      <c r="I27" s="21" t="n">
        <v>1054.637</v>
      </c>
      <c r="J27" s="21" t="n">
        <v>2645.375</v>
      </c>
      <c r="K27" s="21" t="n">
        <v>4734.955</v>
      </c>
      <c r="L27" s="11" t="n">
        <v>0.023019259653748</v>
      </c>
      <c r="M27" s="11" t="n">
        <v>0.0791657444114217</v>
      </c>
    </row>
    <row r="28" customFormat="false" ht="15" hidden="false" customHeight="false" outlineLevel="0" collapsed="false">
      <c r="A28" s="20" t="s">
        <v>76</v>
      </c>
      <c r="B28" s="9" t="s">
        <v>36</v>
      </c>
      <c r="C28" s="21" t="n">
        <v>14025.03</v>
      </c>
      <c r="D28" s="21" t="n">
        <v>1.837</v>
      </c>
      <c r="E28" s="21" t="n">
        <v>1.836</v>
      </c>
      <c r="F28" s="21" t="n">
        <v>1.48</v>
      </c>
      <c r="G28" s="21" t="n">
        <v>10.682</v>
      </c>
      <c r="H28" s="21" t="n">
        <v>6.848</v>
      </c>
      <c r="I28" s="21" t="n">
        <v>11.801</v>
      </c>
      <c r="J28" s="21" t="n">
        <v>74.372</v>
      </c>
      <c r="K28" s="21" t="n">
        <v>108.856</v>
      </c>
      <c r="L28" s="11" t="n">
        <v>0.00776154177320846</v>
      </c>
      <c r="M28" s="11" t="n">
        <v>0.0311294519459325</v>
      </c>
    </row>
    <row r="29" customFormat="false" ht="15" hidden="false" customHeight="false" outlineLevel="0" collapsed="false">
      <c r="A29" s="20" t="s">
        <v>74</v>
      </c>
      <c r="B29" s="9" t="s">
        <v>36</v>
      </c>
      <c r="C29" s="21" t="n">
        <v>12126.99</v>
      </c>
      <c r="D29" s="21" t="n">
        <v>0.061</v>
      </c>
      <c r="E29" s="21" t="n">
        <v>0.1</v>
      </c>
      <c r="F29" s="21" t="n">
        <v>0.124</v>
      </c>
      <c r="G29" s="21" t="n">
        <v>0.706</v>
      </c>
      <c r="H29" s="21" t="n">
        <v>0.585</v>
      </c>
      <c r="I29" s="21" t="n">
        <v>0.884</v>
      </c>
      <c r="J29" s="21" t="n">
        <v>0.999</v>
      </c>
      <c r="K29" s="21" t="n">
        <v>3.459</v>
      </c>
      <c r="L29" s="11" t="n">
        <v>0.000285212373026518</v>
      </c>
      <c r="M29" s="11" t="n">
        <v>0.000472268091138588</v>
      </c>
    </row>
    <row r="30" customFormat="false" ht="15" hidden="false" customHeight="false" outlineLevel="0" collapsed="false">
      <c r="A30" s="20" t="s">
        <v>110</v>
      </c>
      <c r="B30" s="9" t="s">
        <v>36</v>
      </c>
      <c r="C30" s="21" t="n">
        <v>10653.82</v>
      </c>
      <c r="D30" s="21" t="n">
        <v>0</v>
      </c>
      <c r="E30" s="21" t="n">
        <v>0</v>
      </c>
      <c r="F30" s="21" t="n">
        <v>0</v>
      </c>
      <c r="G30" s="21" t="n">
        <v>42.522</v>
      </c>
      <c r="H30" s="21" t="n">
        <v>13.784</v>
      </c>
      <c r="I30" s="21" t="n">
        <v>17.149</v>
      </c>
      <c r="J30" s="21" t="n">
        <v>22.421</v>
      </c>
      <c r="K30" s="21" t="n">
        <v>95.876</v>
      </c>
      <c r="L30" s="11" t="n">
        <v>0.00899919554044613</v>
      </c>
      <c r="M30" s="11" t="n">
        <v>0.0123232702717278</v>
      </c>
    </row>
    <row r="31" customFormat="false" ht="15" hidden="false" customHeight="false" outlineLevel="0" collapsed="false">
      <c r="A31" s="20" t="s">
        <v>111</v>
      </c>
      <c r="B31" s="9" t="s">
        <v>36</v>
      </c>
      <c r="C31" s="21" t="n">
        <v>7116.88</v>
      </c>
      <c r="D31" s="21" t="n">
        <v>0</v>
      </c>
      <c r="E31" s="21" t="n">
        <v>0</v>
      </c>
      <c r="F31" s="21" t="n">
        <v>0</v>
      </c>
      <c r="G31" s="21" t="n">
        <v>0</v>
      </c>
      <c r="H31" s="21" t="n">
        <v>0</v>
      </c>
      <c r="I31" s="21" t="n">
        <v>0</v>
      </c>
      <c r="J31" s="21" t="n">
        <v>85.828</v>
      </c>
      <c r="K31" s="21" t="n">
        <v>85.828</v>
      </c>
      <c r="L31" s="11" t="n">
        <v>0.0120598168790833</v>
      </c>
      <c r="M31" s="11" t="n">
        <v>0.0668694795336497</v>
      </c>
    </row>
    <row r="32" customFormat="false" ht="15" hidden="false" customHeight="false" outlineLevel="0" collapsed="false">
      <c r="A32" s="20" t="s">
        <v>112</v>
      </c>
      <c r="B32" s="9" t="s">
        <v>36</v>
      </c>
      <c r="C32" s="21" t="n">
        <v>6894.59</v>
      </c>
      <c r="D32" s="21" t="n">
        <v>0.07</v>
      </c>
      <c r="E32" s="21" t="n">
        <v>2.02</v>
      </c>
      <c r="F32" s="21" t="n">
        <v>1.714</v>
      </c>
      <c r="G32" s="21" t="n">
        <v>22.603</v>
      </c>
      <c r="H32" s="21" t="n">
        <v>21.24</v>
      </c>
      <c r="I32" s="21" t="n">
        <v>17.431</v>
      </c>
      <c r="J32" s="21" t="n">
        <v>26.32</v>
      </c>
      <c r="K32" s="21" t="n">
        <v>91.398</v>
      </c>
      <c r="L32" s="11" t="n">
        <v>0.0132564596564684</v>
      </c>
      <c r="M32" s="11" t="n">
        <v>0.0216397837418019</v>
      </c>
    </row>
    <row r="33" customFormat="false" ht="15" hidden="false" customHeight="false" outlineLevel="0" collapsed="false">
      <c r="A33" s="20" t="s">
        <v>113</v>
      </c>
      <c r="B33" s="9" t="s">
        <v>36</v>
      </c>
      <c r="C33" s="21" t="n">
        <v>4575.96</v>
      </c>
      <c r="D33" s="21" t="n">
        <v>0</v>
      </c>
      <c r="E33" s="21" t="n">
        <v>0</v>
      </c>
      <c r="F33" s="21" t="n">
        <v>0</v>
      </c>
      <c r="G33" s="21" t="n">
        <v>0</v>
      </c>
      <c r="H33" s="21" t="n">
        <v>0</v>
      </c>
      <c r="I33" s="21" t="n">
        <v>0</v>
      </c>
      <c r="J33" s="21" t="n">
        <v>0</v>
      </c>
      <c r="K33" s="21" t="n">
        <v>0</v>
      </c>
      <c r="L33" s="11" t="n">
        <v>0</v>
      </c>
      <c r="M33" s="11" t="n">
        <v>0</v>
      </c>
    </row>
    <row r="34" customFormat="false" ht="15" hidden="false" customHeight="false" outlineLevel="0" collapsed="false">
      <c r="A34" s="20" t="s">
        <v>114</v>
      </c>
      <c r="B34" s="9" t="s">
        <v>36</v>
      </c>
      <c r="C34" s="21" t="n">
        <v>4405.34</v>
      </c>
      <c r="D34" s="21" t="n">
        <v>0</v>
      </c>
      <c r="E34" s="21" t="n">
        <v>3.783</v>
      </c>
      <c r="F34" s="21" t="n">
        <v>2.387</v>
      </c>
      <c r="G34" s="21" t="n">
        <v>2.984</v>
      </c>
      <c r="H34" s="21" t="n">
        <v>1.972</v>
      </c>
      <c r="I34" s="21" t="n">
        <v>3.008</v>
      </c>
      <c r="J34" s="21" t="n">
        <v>8.226</v>
      </c>
      <c r="K34" s="21" t="n">
        <v>22.36</v>
      </c>
      <c r="L34" s="11" t="n">
        <v>0.00507562436037402</v>
      </c>
      <c r="M34" s="11" t="n">
        <v>0.0192644786477933</v>
      </c>
    </row>
    <row r="35" customFormat="false" ht="15" hidden="false" customHeight="false" outlineLevel="0" collapsed="false">
      <c r="A35" s="20" t="s">
        <v>115</v>
      </c>
      <c r="B35" s="9" t="s">
        <v>36</v>
      </c>
      <c r="C35" s="21" t="n">
        <v>4291.61</v>
      </c>
      <c r="D35" s="21" t="n">
        <v>7.619</v>
      </c>
      <c r="E35" s="21" t="n">
        <v>15.802</v>
      </c>
      <c r="F35" s="21" t="n">
        <v>9.428</v>
      </c>
      <c r="G35" s="21" t="n">
        <v>42.591</v>
      </c>
      <c r="H35" s="21" t="n">
        <v>53.985</v>
      </c>
      <c r="I35" s="21" t="n">
        <v>56.032</v>
      </c>
      <c r="J35" s="21" t="n">
        <v>101.492</v>
      </c>
      <c r="K35" s="21" t="n">
        <v>286.949</v>
      </c>
      <c r="L35" s="11" t="n">
        <v>0.066862947396505</v>
      </c>
      <c r="M35" s="11" t="n">
        <v>0.102048527837053</v>
      </c>
    </row>
    <row r="36" customFormat="false" ht="15" hidden="false" customHeight="false" outlineLevel="0" collapsed="false">
      <c r="A36" s="20" t="s">
        <v>116</v>
      </c>
      <c r="B36" s="9" t="s">
        <v>36</v>
      </c>
      <c r="C36" s="21" t="n">
        <v>4291.09</v>
      </c>
      <c r="D36" s="21" t="n">
        <v>0</v>
      </c>
      <c r="E36" s="21" t="n">
        <v>13.795</v>
      </c>
      <c r="F36" s="21" t="n">
        <v>12.933</v>
      </c>
      <c r="G36" s="21" t="n">
        <v>9.57</v>
      </c>
      <c r="H36" s="21" t="n">
        <v>0</v>
      </c>
      <c r="I36" s="21" t="n">
        <v>6.028</v>
      </c>
      <c r="J36" s="21" t="n">
        <v>25.96</v>
      </c>
      <c r="K36" s="21" t="n">
        <v>68.285</v>
      </c>
      <c r="L36" s="11" t="n">
        <v>0.015913166521033</v>
      </c>
      <c r="M36" s="11" t="n">
        <v>0.0211792612844359</v>
      </c>
    </row>
    <row r="37" customFormat="false" ht="15" hidden="false" customHeight="false" outlineLevel="0" collapsed="false">
      <c r="A37" s="12" t="s">
        <v>117</v>
      </c>
      <c r="B37" s="12" t="s">
        <v>36</v>
      </c>
      <c r="C37" s="22" t="n">
        <f aca="false">SUM(C26:C36)</f>
        <v>485761.94</v>
      </c>
      <c r="D37" s="22" t="n">
        <f aca="false">SUM(D26:D36)</f>
        <v>256.156</v>
      </c>
      <c r="E37" s="22" t="n">
        <f aca="false">SUM(E26:E36)</f>
        <v>677.283</v>
      </c>
      <c r="F37" s="22" t="n">
        <f aca="false">SUM(F26:F36)</f>
        <v>265.088</v>
      </c>
      <c r="G37" s="22" t="n">
        <f aca="false">SUM(G26:G36)</f>
        <v>771.2</v>
      </c>
      <c r="H37" s="22" t="n">
        <f aca="false">SUM(H26:H36)</f>
        <v>1278.493</v>
      </c>
      <c r="I37" s="22" t="n">
        <f aca="false">SUM(I26:I36)</f>
        <v>1836.388</v>
      </c>
      <c r="J37" s="22" t="n">
        <f aca="false">SUM(J26:J36)</f>
        <v>5069.737</v>
      </c>
      <c r="K37" s="22" t="n">
        <f aca="false">SUM(K26:K36)</f>
        <v>10154.344</v>
      </c>
      <c r="L37" s="14" t="n">
        <f aca="false">K37/C37</f>
        <v>0.0209039514293771</v>
      </c>
      <c r="M37" s="14" t="n">
        <f aca="false">J37/C37</f>
        <v>0.0104366698634315</v>
      </c>
    </row>
    <row r="38" customFormat="false" ht="15" hidden="false" customHeight="false" outlineLevel="0" collapsed="false">
      <c r="A38" s="9"/>
      <c r="B38" s="9"/>
      <c r="C38" s="21"/>
      <c r="D38" s="21"/>
      <c r="E38" s="21"/>
      <c r="F38" s="21"/>
      <c r="G38" s="21"/>
      <c r="H38" s="21"/>
      <c r="I38" s="21"/>
      <c r="J38" s="21"/>
      <c r="K38" s="21"/>
      <c r="L38" s="11"/>
      <c r="M38" s="11"/>
    </row>
    <row r="39" customFormat="false" ht="15" hidden="false" customHeight="false" outlineLevel="0" collapsed="false">
      <c r="A39" s="20" t="s">
        <v>108</v>
      </c>
      <c r="B39" s="9" t="s">
        <v>39</v>
      </c>
      <c r="C39" s="21" t="n">
        <v>211685.28</v>
      </c>
      <c r="D39" s="21" t="n">
        <v>-190.817</v>
      </c>
      <c r="E39" s="21" t="n">
        <v>-207.991</v>
      </c>
      <c r="F39" s="21" t="n">
        <v>-139.079</v>
      </c>
      <c r="G39" s="21" t="n">
        <v>-5.569</v>
      </c>
      <c r="H39" s="21" t="n">
        <v>-4.553</v>
      </c>
      <c r="I39" s="21" t="n">
        <v>-4.122</v>
      </c>
      <c r="J39" s="21" t="n">
        <v>-0.935</v>
      </c>
      <c r="K39" s="21" t="n">
        <v>-553.066</v>
      </c>
      <c r="L39" s="11" t="n">
        <v>-0.00261268011710513</v>
      </c>
      <c r="M39" s="11" t="n">
        <v>-2.39895965118603E-005</v>
      </c>
    </row>
    <row r="40" customFormat="false" ht="15" hidden="false" customHeight="false" outlineLevel="0" collapsed="false">
      <c r="A40" s="20" t="s">
        <v>109</v>
      </c>
      <c r="B40" s="9" t="s">
        <v>39</v>
      </c>
      <c r="C40" s="21" t="n">
        <v>205695.35</v>
      </c>
      <c r="D40" s="21" t="n">
        <v>-180.575</v>
      </c>
      <c r="E40" s="21" t="n">
        <v>-27.089</v>
      </c>
      <c r="F40" s="21" t="n">
        <v>-156.315</v>
      </c>
      <c r="G40" s="21" t="n">
        <v>-192.558</v>
      </c>
      <c r="H40" s="21" t="n">
        <v>-36.467</v>
      </c>
      <c r="I40" s="21" t="n">
        <v>-86.486</v>
      </c>
      <c r="J40" s="21" t="n">
        <v>-1523.877</v>
      </c>
      <c r="K40" s="21" t="n">
        <v>-2203.366</v>
      </c>
      <c r="L40" s="11" t="n">
        <v>-0.0107117941305179</v>
      </c>
      <c r="M40" s="11" t="n">
        <v>-0.0456036867859096</v>
      </c>
    </row>
    <row r="41" customFormat="false" ht="15" hidden="false" customHeight="false" outlineLevel="0" collapsed="false">
      <c r="A41" s="20" t="s">
        <v>76</v>
      </c>
      <c r="B41" s="9" t="s">
        <v>39</v>
      </c>
      <c r="C41" s="21" t="n">
        <v>14025.03</v>
      </c>
      <c r="D41" s="21" t="n">
        <v>-16.652</v>
      </c>
      <c r="E41" s="21" t="n">
        <v>-23.988</v>
      </c>
      <c r="F41" s="21" t="n">
        <v>-12.496</v>
      </c>
      <c r="G41" s="21" t="n">
        <v>-7.913</v>
      </c>
      <c r="H41" s="21" t="n">
        <v>-6.22</v>
      </c>
      <c r="I41" s="21" t="n">
        <v>-7.919</v>
      </c>
      <c r="J41" s="21" t="n">
        <v>-3.035</v>
      </c>
      <c r="K41" s="21" t="n">
        <v>-78.223</v>
      </c>
      <c r="L41" s="11" t="n">
        <v>-0.00557736126729186</v>
      </c>
      <c r="M41" s="11" t="n">
        <v>-0.00127045119460303</v>
      </c>
    </row>
    <row r="42" customFormat="false" ht="15" hidden="false" customHeight="false" outlineLevel="0" collapsed="false">
      <c r="A42" s="20" t="s">
        <v>74</v>
      </c>
      <c r="B42" s="9" t="s">
        <v>39</v>
      </c>
      <c r="C42" s="21" t="n">
        <v>12126.99</v>
      </c>
      <c r="D42" s="21" t="n">
        <v>-0.101</v>
      </c>
      <c r="E42" s="21" t="n">
        <v>-0.095</v>
      </c>
      <c r="F42" s="21" t="n">
        <v>-0.103</v>
      </c>
      <c r="G42" s="21" t="n">
        <v>-64.886</v>
      </c>
      <c r="H42" s="21" t="n">
        <v>-52.719</v>
      </c>
      <c r="I42" s="21" t="n">
        <v>-60.672</v>
      </c>
      <c r="J42" s="21" t="n">
        <v>-75.233</v>
      </c>
      <c r="K42" s="21" t="n">
        <v>-253.809</v>
      </c>
      <c r="L42" s="11" t="n">
        <v>-0.0209292223645243</v>
      </c>
      <c r="M42" s="11" t="n">
        <v>-0.0355637168749192</v>
      </c>
    </row>
    <row r="43" customFormat="false" ht="15" hidden="false" customHeight="false" outlineLevel="0" collapsed="false">
      <c r="A43" s="20" t="s">
        <v>110</v>
      </c>
      <c r="B43" s="9" t="s">
        <v>39</v>
      </c>
      <c r="C43" s="21" t="n">
        <v>10653.82</v>
      </c>
      <c r="D43" s="21" t="n">
        <v>0</v>
      </c>
      <c r="E43" s="21" t="n">
        <v>0</v>
      </c>
      <c r="F43" s="21" t="n">
        <v>0</v>
      </c>
      <c r="G43" s="21" t="n">
        <v>-6.17</v>
      </c>
      <c r="H43" s="21" t="n">
        <v>-5.554</v>
      </c>
      <c r="I43" s="21" t="n">
        <v>-10.098</v>
      </c>
      <c r="J43" s="21" t="n">
        <v>-10.918</v>
      </c>
      <c r="K43" s="21" t="n">
        <v>-32.74</v>
      </c>
      <c r="L43" s="11" t="n">
        <v>-0.00307303294082881</v>
      </c>
      <c r="M43" s="11" t="n">
        <v>-0.00600068511752075</v>
      </c>
    </row>
    <row r="44" customFormat="false" ht="15" hidden="false" customHeight="false" outlineLevel="0" collapsed="false">
      <c r="A44" s="20" t="s">
        <v>111</v>
      </c>
      <c r="B44" s="9" t="s">
        <v>39</v>
      </c>
      <c r="C44" s="21" t="n">
        <v>7116.88</v>
      </c>
      <c r="D44" s="21" t="n">
        <v>0</v>
      </c>
      <c r="E44" s="21" t="n">
        <v>0</v>
      </c>
      <c r="F44" s="21" t="n">
        <v>0</v>
      </c>
      <c r="G44" s="21" t="n">
        <v>0</v>
      </c>
      <c r="H44" s="21" t="n">
        <v>0</v>
      </c>
      <c r="I44" s="21" t="n">
        <v>0</v>
      </c>
      <c r="J44" s="21" t="n">
        <v>0</v>
      </c>
      <c r="K44" s="21" t="n">
        <v>0</v>
      </c>
      <c r="L44" s="11" t="n">
        <v>0</v>
      </c>
      <c r="M44" s="11" t="n">
        <v>0</v>
      </c>
    </row>
    <row r="45" customFormat="false" ht="15" hidden="false" customHeight="false" outlineLevel="0" collapsed="false">
      <c r="A45" s="20" t="s">
        <v>112</v>
      </c>
      <c r="B45" s="9" t="s">
        <v>39</v>
      </c>
      <c r="C45" s="21" t="n">
        <v>6894.59</v>
      </c>
      <c r="D45" s="21" t="n">
        <v>0</v>
      </c>
      <c r="E45" s="21" t="n">
        <v>-0.07</v>
      </c>
      <c r="F45" s="21" t="n">
        <v>0</v>
      </c>
      <c r="G45" s="21" t="n">
        <v>0</v>
      </c>
      <c r="H45" s="21" t="n">
        <v>0</v>
      </c>
      <c r="I45" s="21" t="n">
        <v>0</v>
      </c>
      <c r="J45" s="21" t="n">
        <v>0</v>
      </c>
      <c r="K45" s="21" t="n">
        <v>-0.07</v>
      </c>
      <c r="L45" s="11" t="n">
        <v>-1.01485313992483E-005</v>
      </c>
      <c r="M45" s="11" t="n">
        <v>0</v>
      </c>
    </row>
    <row r="46" customFormat="false" ht="15" hidden="false" customHeight="false" outlineLevel="0" collapsed="false">
      <c r="A46" s="20" t="s">
        <v>113</v>
      </c>
      <c r="B46" s="9" t="s">
        <v>39</v>
      </c>
      <c r="C46" s="21" t="n">
        <v>4575.96</v>
      </c>
      <c r="D46" s="21" t="n">
        <v>-15.68</v>
      </c>
      <c r="E46" s="21" t="n">
        <v>-15.68</v>
      </c>
      <c r="F46" s="21" t="n">
        <v>-14.7</v>
      </c>
      <c r="G46" s="21" t="n">
        <v>-23.36</v>
      </c>
      <c r="H46" s="21" t="n">
        <v>-17.52</v>
      </c>
      <c r="I46" s="21" t="n">
        <v>-24.82</v>
      </c>
      <c r="J46" s="21" t="n">
        <v>-33.48</v>
      </c>
      <c r="K46" s="21" t="n">
        <v>-145.24</v>
      </c>
      <c r="L46" s="11" t="n">
        <v>-0.0317397879352092</v>
      </c>
      <c r="M46" s="11" t="n">
        <v>-0.0452995616171456</v>
      </c>
    </row>
    <row r="47" customFormat="false" ht="15" hidden="false" customHeight="false" outlineLevel="0" collapsed="false">
      <c r="A47" s="20" t="s">
        <v>114</v>
      </c>
      <c r="B47" s="9" t="s">
        <v>39</v>
      </c>
      <c r="C47" s="21" t="n">
        <v>4405.34</v>
      </c>
      <c r="D47" s="21" t="n">
        <v>0</v>
      </c>
      <c r="E47" s="21" t="n">
        <v>0</v>
      </c>
      <c r="F47" s="21" t="n">
        <v>0</v>
      </c>
      <c r="G47" s="21" t="n">
        <v>0</v>
      </c>
      <c r="H47" s="21" t="n">
        <v>0</v>
      </c>
      <c r="I47" s="21" t="n">
        <v>0</v>
      </c>
      <c r="J47" s="21" t="n">
        <v>0</v>
      </c>
      <c r="K47" s="21" t="n">
        <v>0</v>
      </c>
      <c r="L47" s="11" t="n">
        <v>0</v>
      </c>
      <c r="M47" s="11" t="n">
        <v>0</v>
      </c>
    </row>
    <row r="48" customFormat="false" ht="15" hidden="false" customHeight="false" outlineLevel="0" collapsed="false">
      <c r="A48" s="20" t="s">
        <v>115</v>
      </c>
      <c r="B48" s="9" t="s">
        <v>39</v>
      </c>
      <c r="C48" s="21" t="n">
        <v>4291.61</v>
      </c>
      <c r="D48" s="21" t="n">
        <v>0</v>
      </c>
      <c r="E48" s="21" t="n">
        <v>0</v>
      </c>
      <c r="F48" s="21" t="n">
        <v>0</v>
      </c>
      <c r="G48" s="21" t="n">
        <v>0</v>
      </c>
      <c r="H48" s="21" t="n">
        <v>0</v>
      </c>
      <c r="I48" s="21" t="n">
        <v>0</v>
      </c>
      <c r="J48" s="21" t="n">
        <v>0</v>
      </c>
      <c r="K48" s="21" t="n">
        <v>0</v>
      </c>
      <c r="L48" s="11" t="n">
        <v>0</v>
      </c>
      <c r="M48" s="11" t="n">
        <v>0</v>
      </c>
    </row>
    <row r="49" customFormat="false" ht="15" hidden="false" customHeight="false" outlineLevel="0" collapsed="false">
      <c r="A49" s="20" t="s">
        <v>116</v>
      </c>
      <c r="B49" s="9" t="s">
        <v>39</v>
      </c>
      <c r="C49" s="21" t="n">
        <v>4291.09</v>
      </c>
      <c r="D49" s="21" t="n">
        <v>0</v>
      </c>
      <c r="E49" s="21" t="n">
        <v>0</v>
      </c>
      <c r="F49" s="21" t="n">
        <v>0</v>
      </c>
      <c r="G49" s="21" t="n">
        <v>0</v>
      </c>
      <c r="H49" s="21" t="n">
        <v>0</v>
      </c>
      <c r="I49" s="21" t="n">
        <v>0</v>
      </c>
      <c r="J49" s="21" t="n">
        <v>0</v>
      </c>
      <c r="K49" s="21" t="n">
        <v>0</v>
      </c>
      <c r="L49" s="11" t="n">
        <v>0</v>
      </c>
      <c r="M49" s="11" t="n">
        <v>0</v>
      </c>
    </row>
    <row r="50" customFormat="false" ht="15" hidden="false" customHeight="false" outlineLevel="0" collapsed="false">
      <c r="A50" s="17" t="s">
        <v>117</v>
      </c>
      <c r="B50" s="17" t="s">
        <v>39</v>
      </c>
      <c r="C50" s="23" t="n">
        <f aca="false">SUM(C39:C49)</f>
        <v>485761.94</v>
      </c>
      <c r="D50" s="23" t="n">
        <f aca="false">SUM(D39:D49)</f>
        <v>-403.825</v>
      </c>
      <c r="E50" s="23" t="n">
        <f aca="false">SUM(E39:E49)</f>
        <v>-274.913</v>
      </c>
      <c r="F50" s="23" t="n">
        <f aca="false">SUM(F39:F49)</f>
        <v>-322.693</v>
      </c>
      <c r="G50" s="23" t="n">
        <f aca="false">SUM(G39:G49)</f>
        <v>-300.456</v>
      </c>
      <c r="H50" s="23" t="n">
        <f aca="false">SUM(H39:H49)</f>
        <v>-123.033</v>
      </c>
      <c r="I50" s="23" t="n">
        <f aca="false">SUM(I39:I49)</f>
        <v>-194.117</v>
      </c>
      <c r="J50" s="23" t="n">
        <f aca="false">SUM(J39:J49)</f>
        <v>-1647.478</v>
      </c>
      <c r="K50" s="23" t="n">
        <f aca="false">SUM(K39:K49)</f>
        <v>-3266.514</v>
      </c>
      <c r="L50" s="19" t="n">
        <f aca="false">K50/C50</f>
        <v>-0.00672451612820881</v>
      </c>
      <c r="M50" s="19" t="n">
        <f aca="false">J50/C50</f>
        <v>-0.00339153372122979</v>
      </c>
    </row>
    <row r="51" customFormat="false" ht="15" hidden="false" customHeight="false" outlineLevel="0" collapsed="false">
      <c r="C51" s="24"/>
      <c r="D51" s="24"/>
      <c r="E51" s="24"/>
      <c r="F51" s="24"/>
      <c r="G51" s="24"/>
      <c r="H51" s="24"/>
      <c r="I51" s="24"/>
      <c r="J51" s="24"/>
      <c r="K51" s="24"/>
      <c r="L51" s="16"/>
      <c r="M51" s="16"/>
    </row>
    <row r="52" customFormat="false" ht="27.75" hidden="false" customHeight="true" outlineLevel="0" collapsed="false">
      <c r="A52" s="2" t="s">
        <v>118</v>
      </c>
      <c r="B52" s="2"/>
      <c r="C52" s="2"/>
      <c r="D52" s="2"/>
      <c r="E52" s="2"/>
      <c r="F52" s="2"/>
      <c r="G52" s="2"/>
      <c r="H52" s="2"/>
      <c r="I52" s="2"/>
      <c r="J52" s="2"/>
      <c r="K52" s="2"/>
      <c r="L52" s="2"/>
      <c r="M52" s="2"/>
    </row>
  </sheetData>
  <mergeCells count="6">
    <mergeCell ref="A1:M1"/>
    <mergeCell ref="A2:M2"/>
    <mergeCell ref="A15:M15"/>
    <mergeCell ref="A22:M22"/>
    <mergeCell ref="A24:M24"/>
    <mergeCell ref="A52:M52"/>
  </mergeCells>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2"/>
    <col collapsed="false" customWidth="true" hidden="false" outlineLevel="0" max="3" min="3" style="0" width="18"/>
    <col collapsed="false" customWidth="true" hidden="false" outlineLevel="0" max="4" min="4" style="0" width="16"/>
    <col collapsed="false" customWidth="true" hidden="false" outlineLevel="0" max="5" min="5" style="0" width="34"/>
  </cols>
  <sheetData>
    <row r="1" customFormat="false" ht="25.5" hidden="false" customHeight="true" outlineLevel="0" collapsed="false">
      <c r="A1" s="1" t="s">
        <v>119</v>
      </c>
      <c r="B1" s="1"/>
      <c r="C1" s="1"/>
      <c r="D1" s="1"/>
      <c r="E1" s="1"/>
    </row>
    <row r="2" customFormat="false" ht="27.75" hidden="false" customHeight="true" outlineLevel="0" collapsed="false">
      <c r="A2" s="2" t="s">
        <v>120</v>
      </c>
      <c r="B2" s="2"/>
      <c r="C2" s="2"/>
      <c r="D2" s="2"/>
      <c r="E2" s="2"/>
    </row>
    <row r="4" customFormat="false" ht="25.5" hidden="false" customHeight="true" outlineLevel="0" collapsed="false">
      <c r="A4" s="6" t="s">
        <v>121</v>
      </c>
      <c r="B4" s="6"/>
      <c r="C4" s="6"/>
      <c r="D4" s="6"/>
      <c r="E4" s="6"/>
    </row>
    <row r="5" customFormat="false" ht="31.5" hidden="false" customHeight="true" outlineLevel="0" collapsed="false">
      <c r="A5" s="7" t="s">
        <v>122</v>
      </c>
      <c r="B5" s="7" t="s">
        <v>123</v>
      </c>
      <c r="C5" s="7" t="s">
        <v>124</v>
      </c>
      <c r="D5" s="7"/>
      <c r="E5" s="7"/>
    </row>
    <row r="6" customFormat="false" ht="15" hidden="false" customHeight="false" outlineLevel="0" collapsed="false">
      <c r="A6" s="20" t="s">
        <v>125</v>
      </c>
      <c r="B6" s="30" t="n">
        <v>858</v>
      </c>
      <c r="C6" s="9" t="s">
        <v>126</v>
      </c>
      <c r="D6" s="9"/>
      <c r="E6" s="9"/>
    </row>
    <row r="7" customFormat="false" ht="15" hidden="false" customHeight="false" outlineLevel="0" collapsed="false">
      <c r="A7" s="25" t="s">
        <v>127</v>
      </c>
      <c r="B7" s="31" t="n">
        <v>1250</v>
      </c>
      <c r="C7" s="25" t="s">
        <v>128</v>
      </c>
      <c r="D7" s="25"/>
      <c r="E7" s="25"/>
    </row>
    <row r="8" customFormat="false" ht="15" hidden="false" customHeight="false" outlineLevel="0" collapsed="false">
      <c r="A8" s="20" t="s">
        <v>129</v>
      </c>
      <c r="B8" s="30" t="n">
        <v>1500</v>
      </c>
      <c r="C8" s="9" t="s">
        <v>130</v>
      </c>
      <c r="D8" s="9"/>
      <c r="E8" s="9"/>
    </row>
    <row r="10" customFormat="false" ht="42" hidden="false" customHeight="true" outlineLevel="0" collapsed="false">
      <c r="A10" s="2" t="s">
        <v>131</v>
      </c>
      <c r="B10" s="2"/>
      <c r="C10" s="2"/>
      <c r="D10" s="2"/>
      <c r="E10" s="2"/>
    </row>
    <row r="12" customFormat="false" ht="25.5" hidden="false" customHeight="true" outlineLevel="0" collapsed="false">
      <c r="A12" s="6" t="s">
        <v>132</v>
      </c>
      <c r="B12" s="6"/>
      <c r="C12" s="6"/>
      <c r="D12" s="6"/>
      <c r="E12" s="6"/>
    </row>
    <row r="13" customFormat="false" ht="31.5" hidden="false" customHeight="true" outlineLevel="0" collapsed="false">
      <c r="A13" s="7" t="s">
        <v>133</v>
      </c>
      <c r="B13" s="7" t="s">
        <v>134</v>
      </c>
      <c r="C13" s="7" t="s">
        <v>135</v>
      </c>
      <c r="D13" s="7" t="s">
        <v>136</v>
      </c>
      <c r="E13" s="7" t="s">
        <v>137</v>
      </c>
    </row>
    <row r="14" customFormat="false" ht="15" hidden="false" customHeight="false" outlineLevel="0" collapsed="false">
      <c r="A14" s="9" t="s">
        <v>138</v>
      </c>
      <c r="B14" s="20" t="s">
        <v>139</v>
      </c>
      <c r="C14" s="20" t="s">
        <v>140</v>
      </c>
      <c r="D14" s="30" t="n">
        <v>573</v>
      </c>
      <c r="E14" s="9" t="s">
        <v>141</v>
      </c>
    </row>
    <row r="15" customFormat="false" ht="15" hidden="false" customHeight="false" outlineLevel="0" collapsed="false">
      <c r="A15" s="29" t="s">
        <v>142</v>
      </c>
      <c r="B15" s="25" t="s">
        <v>139</v>
      </c>
      <c r="C15" s="25" t="s">
        <v>140</v>
      </c>
      <c r="D15" s="31" t="n">
        <v>110</v>
      </c>
      <c r="E15" s="29" t="s">
        <v>143</v>
      </c>
    </row>
    <row r="16" customFormat="false" ht="15" hidden="false" customHeight="false" outlineLevel="0" collapsed="false">
      <c r="A16" s="9" t="s">
        <v>144</v>
      </c>
      <c r="B16" s="20" t="s">
        <v>139</v>
      </c>
      <c r="C16" s="20" t="s">
        <v>145</v>
      </c>
      <c r="D16" s="30" t="n">
        <v>183</v>
      </c>
      <c r="E16" s="9" t="s">
        <v>146</v>
      </c>
    </row>
    <row r="17" customFormat="false" ht="15" hidden="false" customHeight="false" outlineLevel="0" collapsed="false">
      <c r="A17" s="25" t="s">
        <v>147</v>
      </c>
      <c r="B17" s="25" t="s">
        <v>139</v>
      </c>
      <c r="C17" s="25" t="s">
        <v>140</v>
      </c>
      <c r="D17" s="31" t="n">
        <v>150</v>
      </c>
      <c r="E17" s="29" t="s">
        <v>148</v>
      </c>
    </row>
    <row r="18" customFormat="false" ht="15" hidden="false" customHeight="false" outlineLevel="0" collapsed="false">
      <c r="A18" s="9" t="s">
        <v>149</v>
      </c>
      <c r="B18" s="20" t="s">
        <v>139</v>
      </c>
      <c r="C18" s="20" t="s">
        <v>150</v>
      </c>
      <c r="D18" s="30" t="n">
        <v>140</v>
      </c>
      <c r="E18" s="9" t="s">
        <v>151</v>
      </c>
    </row>
    <row r="19" customFormat="false" ht="15" hidden="false" customHeight="false" outlineLevel="0" collapsed="false">
      <c r="A19" s="29" t="s">
        <v>152</v>
      </c>
      <c r="B19" s="25" t="s">
        <v>139</v>
      </c>
      <c r="C19" s="25" t="s">
        <v>140</v>
      </c>
      <c r="D19" s="31" t="n">
        <v>60</v>
      </c>
      <c r="E19" s="29" t="s">
        <v>146</v>
      </c>
    </row>
    <row r="20" customFormat="false" ht="15" hidden="false" customHeight="false" outlineLevel="0" collapsed="false">
      <c r="A20" s="9" t="s">
        <v>153</v>
      </c>
      <c r="B20" s="9"/>
      <c r="C20" s="20" t="s">
        <v>140</v>
      </c>
      <c r="D20" s="30" t="n">
        <v>35</v>
      </c>
      <c r="E20" s="9" t="s">
        <v>146</v>
      </c>
    </row>
    <row r="21" customFormat="false" ht="15" hidden="false" customHeight="false" outlineLevel="0" collapsed="false">
      <c r="A21" s="29" t="s">
        <v>154</v>
      </c>
      <c r="B21" s="29"/>
      <c r="C21" s="25" t="s">
        <v>150</v>
      </c>
      <c r="D21" s="31" t="n">
        <v>13</v>
      </c>
      <c r="E21" s="29" t="s">
        <v>146</v>
      </c>
    </row>
    <row r="22" customFormat="false" ht="15" hidden="false" customHeight="false" outlineLevel="0" collapsed="false">
      <c r="A22" s="9" t="s">
        <v>155</v>
      </c>
      <c r="B22" s="9"/>
      <c r="C22" s="20" t="s">
        <v>150</v>
      </c>
      <c r="D22" s="30"/>
      <c r="E22" s="9" t="s">
        <v>156</v>
      </c>
    </row>
    <row r="23" customFormat="false" ht="15" hidden="false" customHeight="false" outlineLevel="0" collapsed="false">
      <c r="A23" s="29" t="s">
        <v>157</v>
      </c>
      <c r="B23" s="29"/>
      <c r="C23" s="25" t="s">
        <v>150</v>
      </c>
      <c r="D23" s="31"/>
      <c r="E23" s="29" t="s">
        <v>156</v>
      </c>
    </row>
    <row r="24" customFormat="false" ht="15" hidden="false" customHeight="false" outlineLevel="0" collapsed="false">
      <c r="A24" s="9" t="s">
        <v>158</v>
      </c>
      <c r="B24" s="9"/>
      <c r="C24" s="20" t="s">
        <v>150</v>
      </c>
      <c r="D24" s="30"/>
      <c r="E24" s="9" t="s">
        <v>156</v>
      </c>
    </row>
    <row r="25" customFormat="false" ht="15" hidden="false" customHeight="false" outlineLevel="0" collapsed="false">
      <c r="A25" s="29" t="s">
        <v>159</v>
      </c>
      <c r="B25" s="29"/>
      <c r="C25" s="25" t="s">
        <v>150</v>
      </c>
      <c r="D25" s="31"/>
      <c r="E25" s="29" t="s">
        <v>160</v>
      </c>
    </row>
    <row r="26" customFormat="false" ht="15" hidden="false" customHeight="false" outlineLevel="0" collapsed="false">
      <c r="A26" s="20" t="s">
        <v>161</v>
      </c>
      <c r="B26" s="9"/>
      <c r="C26" s="20" t="s">
        <v>150</v>
      </c>
      <c r="D26" s="30"/>
      <c r="E26" s="9" t="s">
        <v>162</v>
      </c>
    </row>
    <row r="27" customFormat="false" ht="15" hidden="false" customHeight="false" outlineLevel="0" collapsed="false">
      <c r="A27" s="29" t="s">
        <v>163</v>
      </c>
      <c r="B27" s="29"/>
      <c r="C27" s="25" t="s">
        <v>150</v>
      </c>
      <c r="D27" s="31"/>
      <c r="E27" s="29" t="s">
        <v>162</v>
      </c>
    </row>
    <row r="28" customFormat="false" ht="15" hidden="false" customHeight="false" outlineLevel="0" collapsed="false">
      <c r="A28" s="9" t="s">
        <v>164</v>
      </c>
      <c r="B28" s="9"/>
      <c r="C28" s="20" t="s">
        <v>150</v>
      </c>
      <c r="D28" s="30"/>
      <c r="E28" s="9" t="s">
        <v>162</v>
      </c>
    </row>
    <row r="29" customFormat="false" ht="15" hidden="false" customHeight="false" outlineLevel="0" collapsed="false">
      <c r="A29" s="29" t="s">
        <v>165</v>
      </c>
      <c r="B29" s="29"/>
      <c r="C29" s="25" t="s">
        <v>150</v>
      </c>
      <c r="D29" s="31"/>
      <c r="E29" s="29" t="s">
        <v>162</v>
      </c>
    </row>
    <row r="30" customFormat="false" ht="15" hidden="false" customHeight="false" outlineLevel="0" collapsed="false">
      <c r="A30" s="17" t="s">
        <v>166</v>
      </c>
      <c r="B30" s="17"/>
      <c r="C30" s="17"/>
      <c r="D30" s="32" t="n">
        <f aca="false">D14+D15+D16+D17+D18+D19+D20+D21</f>
        <v>1264</v>
      </c>
      <c r="E30" s="17"/>
    </row>
    <row r="31" customFormat="false" ht="15" hidden="false" customHeight="false" outlineLevel="0" collapsed="false">
      <c r="A31" s="17" t="s">
        <v>167</v>
      </c>
      <c r="B31" s="17"/>
      <c r="C31" s="17"/>
      <c r="D31" s="32" t="n">
        <f aca="false">D30*6</f>
        <v>7584</v>
      </c>
      <c r="E31" s="17"/>
    </row>
    <row r="33" customFormat="false" ht="39.75" hidden="false" customHeight="true" outlineLevel="0" collapsed="false">
      <c r="A33" s="2" t="s">
        <v>168</v>
      </c>
      <c r="B33" s="2"/>
      <c r="C33" s="2"/>
      <c r="D33" s="2"/>
      <c r="E33" s="2"/>
    </row>
  </sheetData>
  <mergeCells count="10">
    <mergeCell ref="A1:E1"/>
    <mergeCell ref="A2:E2"/>
    <mergeCell ref="A4:E4"/>
    <mergeCell ref="C5:E5"/>
    <mergeCell ref="C6:E6"/>
    <mergeCell ref="C7:E7"/>
    <mergeCell ref="C8:E8"/>
    <mergeCell ref="A10:E10"/>
    <mergeCell ref="A12:E12"/>
    <mergeCell ref="A33:E33"/>
  </mergeCells>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25.5" hidden="false" customHeight="true" outlineLevel="0" collapsed="false">
      <c r="A1" s="1" t="s">
        <v>169</v>
      </c>
      <c r="B1" s="1"/>
      <c r="C1" s="1"/>
    </row>
    <row r="2" customFormat="false" ht="27.75" hidden="false" customHeight="true" outlineLevel="0" collapsed="false">
      <c r="A2" s="2" t="s">
        <v>170</v>
      </c>
      <c r="B2" s="2"/>
      <c r="C2" s="2"/>
    </row>
    <row r="4" customFormat="false" ht="15" hidden="false" customHeight="false" outlineLevel="0" collapsed="false">
      <c r="A4" s="33" t="s">
        <v>171</v>
      </c>
    </row>
    <row r="5" customFormat="false" ht="78" hidden="false" customHeight="true" outlineLevel="0" collapsed="false">
      <c r="A5" s="34" t="s">
        <v>172</v>
      </c>
      <c r="B5" s="34"/>
      <c r="C5" s="34"/>
    </row>
    <row r="6" customFormat="false" ht="61.5" hidden="false" customHeight="true" outlineLevel="0" collapsed="false">
      <c r="A6" s="34" t="s">
        <v>173</v>
      </c>
      <c r="B6" s="34"/>
      <c r="C6" s="34"/>
    </row>
  </sheetData>
  <mergeCells count="4">
    <mergeCell ref="A1:C1"/>
    <mergeCell ref="A2:C2"/>
    <mergeCell ref="A5:C5"/>
    <mergeCell ref="A6:C6"/>
  </mergeCells>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7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2" topLeftCell="A1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6"/>
    <col collapsed="false" customWidth="true" hidden="false" outlineLevel="0" max="3" min="3" style="0" width="20"/>
    <col collapsed="false" customWidth="true" hidden="false" outlineLevel="0" max="4" min="4" style="0" width="9"/>
    <col collapsed="false" customWidth="true" hidden="false" outlineLevel="0" max="5" min="5" style="0" width="13"/>
    <col collapsed="false" customWidth="true" hidden="false" outlineLevel="0" max="6" min="6" style="0" width="12"/>
    <col collapsed="false" customWidth="true" hidden="false" outlineLevel="0" max="7" min="7" style="0" width="9"/>
  </cols>
  <sheetData>
    <row r="1" customFormat="false" ht="25.5" hidden="false" customHeight="true" outlineLevel="0" collapsed="false">
      <c r="A1" s="1" t="s">
        <v>174</v>
      </c>
      <c r="B1" s="1"/>
      <c r="C1" s="1"/>
      <c r="D1" s="1"/>
      <c r="E1" s="1"/>
      <c r="F1" s="1"/>
      <c r="G1" s="1"/>
    </row>
    <row r="2" customFormat="false" ht="31.5" hidden="false" customHeight="true" outlineLevel="0" collapsed="false">
      <c r="A2" s="2" t="s">
        <v>175</v>
      </c>
      <c r="B2" s="2"/>
      <c r="C2" s="2"/>
      <c r="D2" s="2"/>
      <c r="E2" s="2"/>
      <c r="F2" s="2"/>
      <c r="G2" s="2"/>
    </row>
    <row r="4" customFormat="false" ht="25.5" hidden="false" customHeight="true" outlineLevel="0" collapsed="false">
      <c r="A4" s="6" t="s">
        <v>176</v>
      </c>
      <c r="B4" s="6"/>
      <c r="C4" s="6"/>
      <c r="D4" s="6"/>
      <c r="E4" s="6"/>
      <c r="F4" s="6"/>
      <c r="G4" s="6"/>
    </row>
    <row r="5" customFormat="false" ht="31.5" hidden="false" customHeight="true" outlineLevel="0" collapsed="false">
      <c r="A5" s="7" t="s">
        <v>177</v>
      </c>
      <c r="B5" s="7" t="s">
        <v>178</v>
      </c>
      <c r="C5" s="7" t="s">
        <v>179</v>
      </c>
      <c r="D5" s="7" t="s">
        <v>180</v>
      </c>
      <c r="E5" s="7" t="s">
        <v>181</v>
      </c>
      <c r="F5" s="7" t="s">
        <v>182</v>
      </c>
      <c r="G5" s="7"/>
    </row>
    <row r="6" customFormat="false" ht="15" hidden="false" customHeight="false" outlineLevel="0" collapsed="false">
      <c r="A6" s="9" t="s">
        <v>183</v>
      </c>
      <c r="B6" s="9" t="n">
        <v>2081</v>
      </c>
      <c r="C6" s="10" t="n">
        <v>336.087</v>
      </c>
      <c r="D6" s="10" t="n">
        <v>272.083</v>
      </c>
      <c r="E6" s="10" t="n">
        <f aca="false">C6-D6</f>
        <v>64.004</v>
      </c>
      <c r="F6" s="35" t="n">
        <f aca="false">E6/C6</f>
        <v>0.1904387851955</v>
      </c>
      <c r="G6" s="9"/>
    </row>
    <row r="7" customFormat="false" ht="15" hidden="false" customHeight="false" outlineLevel="0" collapsed="false">
      <c r="A7" s="29" t="s">
        <v>87</v>
      </c>
      <c r="B7" s="29" t="n">
        <v>645</v>
      </c>
      <c r="C7" s="36" t="n">
        <v>36.488</v>
      </c>
      <c r="D7" s="36" t="n">
        <v>25.915</v>
      </c>
      <c r="E7" s="36" t="n">
        <f aca="false">C7-D7</f>
        <v>10.573</v>
      </c>
      <c r="F7" s="37" t="n">
        <f aca="false">E7/C7</f>
        <v>0.289766498574874</v>
      </c>
      <c r="G7" s="29"/>
    </row>
    <row r="8" customFormat="false" ht="15" hidden="false" customHeight="false" outlineLevel="0" collapsed="false">
      <c r="A8" s="9" t="s">
        <v>184</v>
      </c>
      <c r="B8" s="9" t="n">
        <v>38</v>
      </c>
      <c r="C8" s="10" t="n">
        <v>1.035</v>
      </c>
      <c r="D8" s="10" t="n">
        <v>0.819</v>
      </c>
      <c r="E8" s="10" t="n">
        <f aca="false">C8-D8</f>
        <v>0.216</v>
      </c>
      <c r="F8" s="35" t="n">
        <f aca="false">E8/C8</f>
        <v>0.208695652173913</v>
      </c>
      <c r="G8" s="9"/>
    </row>
    <row r="9" customFormat="false" ht="15.75" hidden="false" customHeight="true" outlineLevel="0" collapsed="false">
      <c r="A9" s="2" t="s">
        <v>185</v>
      </c>
      <c r="B9" s="2"/>
      <c r="C9" s="2"/>
      <c r="D9" s="2"/>
      <c r="E9" s="2"/>
      <c r="F9" s="2"/>
      <c r="G9" s="2"/>
    </row>
    <row r="11" customFormat="false" ht="25.5" hidden="false" customHeight="true" outlineLevel="0" collapsed="false">
      <c r="A11" s="6" t="s">
        <v>186</v>
      </c>
      <c r="B11" s="6"/>
      <c r="C11" s="6"/>
      <c r="D11" s="6"/>
      <c r="E11" s="6"/>
      <c r="F11" s="6"/>
      <c r="G11" s="6"/>
    </row>
    <row r="12" customFormat="false" ht="31.5" hidden="false" customHeight="true" outlineLevel="0" collapsed="false">
      <c r="A12" s="7" t="s">
        <v>187</v>
      </c>
      <c r="B12" s="7" t="s">
        <v>188</v>
      </c>
      <c r="C12" s="7" t="s">
        <v>189</v>
      </c>
      <c r="D12" s="7" t="s">
        <v>190</v>
      </c>
      <c r="E12" s="7" t="s">
        <v>191</v>
      </c>
      <c r="F12" s="7" t="s">
        <v>192</v>
      </c>
      <c r="G12" s="7" t="s">
        <v>182</v>
      </c>
    </row>
    <row r="13" customFormat="false" ht="15" hidden="false" customHeight="false" outlineLevel="0" collapsed="false">
      <c r="A13" s="20" t="s">
        <v>193</v>
      </c>
      <c r="B13" s="20" t="s">
        <v>194</v>
      </c>
      <c r="C13" s="9" t="s">
        <v>195</v>
      </c>
      <c r="D13" s="9" t="n">
        <v>201</v>
      </c>
      <c r="E13" s="30" t="n">
        <v>12268340</v>
      </c>
      <c r="F13" s="30" t="n">
        <v>232259</v>
      </c>
      <c r="G13" s="35" t="n">
        <v>0.0189315750949191</v>
      </c>
    </row>
    <row r="14" customFormat="false" ht="15" hidden="false" customHeight="false" outlineLevel="0" collapsed="false">
      <c r="A14" s="25" t="s">
        <v>196</v>
      </c>
      <c r="B14" s="25" t="s">
        <v>194</v>
      </c>
      <c r="C14" s="29" t="s">
        <v>197</v>
      </c>
      <c r="D14" s="29" t="n">
        <v>102</v>
      </c>
      <c r="E14" s="31" t="n">
        <v>9067800</v>
      </c>
      <c r="F14" s="31" t="n">
        <v>-124338</v>
      </c>
      <c r="G14" s="37" t="n">
        <v>-0.0137120359955005</v>
      </c>
    </row>
    <row r="15" customFormat="false" ht="15" hidden="false" customHeight="false" outlineLevel="0" collapsed="false">
      <c r="A15" s="20" t="s">
        <v>198</v>
      </c>
      <c r="B15" s="20" t="s">
        <v>194</v>
      </c>
      <c r="C15" s="9" t="s">
        <v>195</v>
      </c>
      <c r="D15" s="9" t="n">
        <v>109</v>
      </c>
      <c r="E15" s="30" t="n">
        <v>7142702</v>
      </c>
      <c r="F15" s="30" t="n">
        <v>-293932</v>
      </c>
      <c r="G15" s="35" t="n">
        <v>-0.0411513738078391</v>
      </c>
    </row>
    <row r="16" customFormat="false" ht="15" hidden="false" customHeight="false" outlineLevel="0" collapsed="false">
      <c r="A16" s="25" t="s">
        <v>199</v>
      </c>
      <c r="B16" s="25" t="s">
        <v>200</v>
      </c>
      <c r="C16" s="29" t="s">
        <v>201</v>
      </c>
      <c r="D16" s="29" t="n">
        <v>400</v>
      </c>
      <c r="E16" s="31" t="n">
        <v>7141600</v>
      </c>
      <c r="F16" s="31" t="n">
        <v>2699200</v>
      </c>
      <c r="G16" s="37" t="n">
        <v>0.377954519995519</v>
      </c>
    </row>
    <row r="17" customFormat="false" ht="15" hidden="false" customHeight="false" outlineLevel="0" collapsed="false">
      <c r="A17" s="20" t="s">
        <v>202</v>
      </c>
      <c r="B17" s="20" t="s">
        <v>194</v>
      </c>
      <c r="C17" s="9" t="s">
        <v>203</v>
      </c>
      <c r="D17" s="9" t="n">
        <v>167</v>
      </c>
      <c r="E17" s="30" t="n">
        <v>5973924</v>
      </c>
      <c r="F17" s="30" t="n">
        <v>982795</v>
      </c>
      <c r="G17" s="35" t="n">
        <v>0.164514145141451</v>
      </c>
    </row>
    <row r="18" customFormat="false" ht="15" hidden="false" customHeight="false" outlineLevel="0" collapsed="false">
      <c r="A18" s="25" t="s">
        <v>204</v>
      </c>
      <c r="B18" s="25" t="s">
        <v>194</v>
      </c>
      <c r="C18" s="29" t="s">
        <v>203</v>
      </c>
      <c r="D18" s="29" t="n">
        <v>89</v>
      </c>
      <c r="E18" s="31" t="n">
        <v>5734626</v>
      </c>
      <c r="F18" s="31" t="n">
        <v>-411447</v>
      </c>
      <c r="G18" s="37" t="n">
        <v>-0.0717478349939473</v>
      </c>
    </row>
    <row r="19" customFormat="false" ht="15" hidden="false" customHeight="false" outlineLevel="0" collapsed="false">
      <c r="A19" s="20" t="s">
        <v>205</v>
      </c>
      <c r="B19" s="20" t="s">
        <v>194</v>
      </c>
      <c r="C19" s="9" t="s">
        <v>206</v>
      </c>
      <c r="D19" s="9" t="n">
        <v>82</v>
      </c>
      <c r="E19" s="30" t="n">
        <v>4579044</v>
      </c>
      <c r="F19" s="30" t="n">
        <v>-271502</v>
      </c>
      <c r="G19" s="35" t="n">
        <v>-0.0592922889581318</v>
      </c>
    </row>
    <row r="20" customFormat="false" ht="15" hidden="false" customHeight="false" outlineLevel="0" collapsed="false">
      <c r="A20" s="25" t="s">
        <v>207</v>
      </c>
      <c r="B20" s="25" t="s">
        <v>194</v>
      </c>
      <c r="C20" s="29" t="s">
        <v>197</v>
      </c>
      <c r="D20" s="29" t="n">
        <v>41</v>
      </c>
      <c r="E20" s="31" t="n">
        <v>4140713</v>
      </c>
      <c r="F20" s="31" t="n">
        <v>53669</v>
      </c>
      <c r="G20" s="37" t="n">
        <v>0.0129612943471329</v>
      </c>
    </row>
    <row r="21" customFormat="false" ht="15" hidden="false" customHeight="false" outlineLevel="0" collapsed="false">
      <c r="A21" s="20" t="s">
        <v>208</v>
      </c>
      <c r="B21" s="20" t="s">
        <v>194</v>
      </c>
      <c r="C21" s="9" t="s">
        <v>209</v>
      </c>
      <c r="D21" s="9" t="n">
        <v>76</v>
      </c>
      <c r="E21" s="30" t="n">
        <v>4015536</v>
      </c>
      <c r="F21" s="30" t="n">
        <v>615676</v>
      </c>
      <c r="G21" s="35" t="n">
        <v>0.153323491558786</v>
      </c>
    </row>
    <row r="22" customFormat="false" ht="15" hidden="false" customHeight="false" outlineLevel="0" collapsed="false">
      <c r="A22" s="25" t="s">
        <v>210</v>
      </c>
      <c r="B22" s="25" t="s">
        <v>194</v>
      </c>
      <c r="C22" s="29" t="s">
        <v>197</v>
      </c>
      <c r="D22" s="29" t="n">
        <v>41</v>
      </c>
      <c r="E22" s="31" t="n">
        <v>3822307</v>
      </c>
      <c r="F22" s="31" t="n">
        <v>-156948</v>
      </c>
      <c r="G22" s="37" t="n">
        <v>-0.041061066000193</v>
      </c>
    </row>
    <row r="23" customFormat="false" ht="15" hidden="false" customHeight="false" outlineLevel="0" collapsed="false">
      <c r="A23" s="20" t="s">
        <v>211</v>
      </c>
      <c r="B23" s="20" t="s">
        <v>194</v>
      </c>
      <c r="C23" s="9" t="s">
        <v>206</v>
      </c>
      <c r="D23" s="9" t="n">
        <v>70</v>
      </c>
      <c r="E23" s="30" t="n">
        <v>3795400</v>
      </c>
      <c r="F23" s="30" t="n">
        <v>259350</v>
      </c>
      <c r="G23" s="35" t="n">
        <v>0.0683327185540391</v>
      </c>
    </row>
    <row r="24" customFormat="false" ht="15" hidden="false" customHeight="false" outlineLevel="0" collapsed="false">
      <c r="A24" s="25" t="s">
        <v>212</v>
      </c>
      <c r="B24" s="25" t="s">
        <v>194</v>
      </c>
      <c r="C24" s="29" t="s">
        <v>209</v>
      </c>
      <c r="D24" s="29" t="n">
        <v>57</v>
      </c>
      <c r="E24" s="31" t="n">
        <v>3639621</v>
      </c>
      <c r="F24" s="31" t="n">
        <v>423453</v>
      </c>
      <c r="G24" s="37" t="n">
        <v>0.116345355738963</v>
      </c>
    </row>
    <row r="25" customFormat="false" ht="15" hidden="false" customHeight="false" outlineLevel="0" collapsed="false">
      <c r="A25" s="20" t="s">
        <v>213</v>
      </c>
      <c r="B25" s="20" t="s">
        <v>194</v>
      </c>
      <c r="C25" s="9" t="s">
        <v>203</v>
      </c>
      <c r="D25" s="9" t="n">
        <v>67</v>
      </c>
      <c r="E25" s="30" t="n">
        <v>3481923</v>
      </c>
      <c r="F25" s="30" t="n">
        <v>315972</v>
      </c>
      <c r="G25" s="35" t="n">
        <v>0.0907464065115742</v>
      </c>
    </row>
    <row r="26" customFormat="false" ht="15" hidden="false" customHeight="false" outlineLevel="0" collapsed="false">
      <c r="A26" s="25" t="s">
        <v>214</v>
      </c>
      <c r="B26" s="25" t="s">
        <v>194</v>
      </c>
      <c r="C26" s="29" t="s">
        <v>209</v>
      </c>
      <c r="D26" s="29" t="n">
        <v>62</v>
      </c>
      <c r="E26" s="31" t="n">
        <v>3398220</v>
      </c>
      <c r="F26" s="31" t="n">
        <v>130634</v>
      </c>
      <c r="G26" s="37" t="n">
        <v>0.0384418901660281</v>
      </c>
    </row>
    <row r="27" customFormat="false" ht="15" hidden="false" customHeight="false" outlineLevel="0" collapsed="false">
      <c r="A27" s="20" t="s">
        <v>215</v>
      </c>
      <c r="B27" s="9" t="s">
        <v>216</v>
      </c>
      <c r="C27" s="9" t="s">
        <v>217</v>
      </c>
      <c r="D27" s="9" t="n">
        <v>99</v>
      </c>
      <c r="E27" s="30" t="n">
        <v>3396096</v>
      </c>
      <c r="F27" s="30" t="n">
        <v>-403524</v>
      </c>
      <c r="G27" s="35" t="n">
        <v>-0.118819962686567</v>
      </c>
    </row>
    <row r="28" customFormat="false" ht="15" hidden="false" customHeight="false" outlineLevel="0" collapsed="false">
      <c r="A28" s="25" t="s">
        <v>218</v>
      </c>
      <c r="B28" s="25" t="s">
        <v>194</v>
      </c>
      <c r="C28" s="29" t="s">
        <v>217</v>
      </c>
      <c r="D28" s="29" t="n">
        <v>37</v>
      </c>
      <c r="E28" s="31" t="n">
        <v>3300696</v>
      </c>
      <c r="F28" s="31" t="n">
        <v>792170</v>
      </c>
      <c r="G28" s="37" t="n">
        <v>0.240000896780558</v>
      </c>
    </row>
    <row r="29" customFormat="false" ht="15" hidden="false" customHeight="false" outlineLevel="0" collapsed="false">
      <c r="A29" s="20" t="s">
        <v>219</v>
      </c>
      <c r="B29" s="20" t="s">
        <v>220</v>
      </c>
      <c r="C29" s="9" t="s">
        <v>217</v>
      </c>
      <c r="D29" s="9" t="n">
        <v>45</v>
      </c>
      <c r="E29" s="30" t="n">
        <v>3178035</v>
      </c>
      <c r="F29" s="30" t="n">
        <v>424890</v>
      </c>
      <c r="G29" s="35" t="n">
        <v>0.13369582147459</v>
      </c>
    </row>
    <row r="30" customFormat="false" ht="15" hidden="false" customHeight="false" outlineLevel="0" collapsed="false">
      <c r="A30" s="25" t="s">
        <v>221</v>
      </c>
      <c r="B30" s="25" t="s">
        <v>222</v>
      </c>
      <c r="C30" s="29" t="s">
        <v>223</v>
      </c>
      <c r="D30" s="29" t="n">
        <v>72</v>
      </c>
      <c r="E30" s="31" t="n">
        <v>2811672</v>
      </c>
      <c r="F30" s="31" t="n">
        <v>-100224</v>
      </c>
      <c r="G30" s="37" t="n">
        <v>-0.0356456940923407</v>
      </c>
    </row>
    <row r="31" customFormat="false" ht="15" hidden="false" customHeight="false" outlineLevel="0" collapsed="false">
      <c r="A31" s="20" t="s">
        <v>224</v>
      </c>
      <c r="B31" s="20" t="s">
        <v>194</v>
      </c>
      <c r="C31" s="9" t="s">
        <v>203</v>
      </c>
      <c r="D31" s="9" t="n">
        <v>41</v>
      </c>
      <c r="E31" s="30" t="n">
        <v>2737488</v>
      </c>
      <c r="F31" s="30" t="n">
        <v>296717</v>
      </c>
      <c r="G31" s="35" t="n">
        <v>0.108390246824826</v>
      </c>
    </row>
    <row r="32" customFormat="false" ht="15" hidden="false" customHeight="false" outlineLevel="0" collapsed="false">
      <c r="A32" s="25" t="s">
        <v>225</v>
      </c>
      <c r="B32" s="25" t="s">
        <v>194</v>
      </c>
      <c r="C32" s="25" t="s">
        <v>226</v>
      </c>
      <c r="D32" s="29" t="n">
        <v>1218</v>
      </c>
      <c r="E32" s="31" t="n">
        <v>2654746</v>
      </c>
      <c r="F32" s="31" t="n">
        <v>1540276</v>
      </c>
      <c r="G32" s="37" t="n">
        <v>0.580197126203411</v>
      </c>
    </row>
    <row r="33" customFormat="false" ht="15" hidden="false" customHeight="false" outlineLevel="0" collapsed="false">
      <c r="A33" s="20" t="s">
        <v>227</v>
      </c>
      <c r="B33" s="20" t="s">
        <v>228</v>
      </c>
      <c r="C33" s="9" t="s">
        <v>229</v>
      </c>
      <c r="D33" s="9" t="n">
        <v>69</v>
      </c>
      <c r="E33" s="30" t="n">
        <v>2640699</v>
      </c>
      <c r="F33" s="30" t="n">
        <v>121716</v>
      </c>
      <c r="G33" s="35" t="n">
        <v>0.0460923414595908</v>
      </c>
    </row>
    <row r="34" customFormat="false" ht="15" hidden="false" customHeight="false" outlineLevel="0" collapsed="false">
      <c r="A34" s="25" t="s">
        <v>230</v>
      </c>
      <c r="B34" s="25" t="s">
        <v>194</v>
      </c>
      <c r="C34" s="29" t="s">
        <v>231</v>
      </c>
      <c r="D34" s="29" t="n">
        <v>30</v>
      </c>
      <c r="E34" s="31" t="n">
        <v>2480850</v>
      </c>
      <c r="F34" s="31" t="n">
        <v>-183660</v>
      </c>
      <c r="G34" s="37" t="n">
        <v>-0.0740310780579237</v>
      </c>
    </row>
    <row r="35" customFormat="false" ht="15" hidden="false" customHeight="false" outlineLevel="0" collapsed="false">
      <c r="A35" s="20" t="s">
        <v>232</v>
      </c>
      <c r="B35" s="20" t="s">
        <v>233</v>
      </c>
      <c r="C35" s="9" t="s">
        <v>223</v>
      </c>
      <c r="D35" s="9" t="n">
        <v>33</v>
      </c>
      <c r="E35" s="30" t="n">
        <v>2414907</v>
      </c>
      <c r="F35" s="30" t="n">
        <v>348777</v>
      </c>
      <c r="G35" s="35" t="n">
        <v>0.144426679785184</v>
      </c>
    </row>
    <row r="36" customFormat="false" ht="15" hidden="false" customHeight="false" outlineLevel="0" collapsed="false">
      <c r="A36" s="25" t="s">
        <v>234</v>
      </c>
      <c r="B36" s="25" t="s">
        <v>220</v>
      </c>
      <c r="C36" s="29" t="s">
        <v>217</v>
      </c>
      <c r="D36" s="29" t="n">
        <v>70</v>
      </c>
      <c r="E36" s="31" t="n">
        <v>2366070</v>
      </c>
      <c r="F36" s="31" t="n">
        <v>-122010</v>
      </c>
      <c r="G36" s="37" t="n">
        <v>-0.0515665217005414</v>
      </c>
    </row>
    <row r="37" customFormat="false" ht="15" hidden="false" customHeight="false" outlineLevel="0" collapsed="false">
      <c r="A37" s="20" t="s">
        <v>235</v>
      </c>
      <c r="B37" s="20" t="s">
        <v>194</v>
      </c>
      <c r="C37" s="9" t="s">
        <v>236</v>
      </c>
      <c r="D37" s="9" t="n">
        <v>279</v>
      </c>
      <c r="E37" s="30" t="n">
        <v>2352664</v>
      </c>
      <c r="F37" s="30" t="n">
        <v>-50084</v>
      </c>
      <c r="G37" s="35" t="n">
        <v>-0.021288207750873</v>
      </c>
    </row>
    <row r="38" customFormat="false" ht="15" hidden="false" customHeight="false" outlineLevel="0" collapsed="false">
      <c r="A38" s="25" t="s">
        <v>237</v>
      </c>
      <c r="B38" s="29" t="s">
        <v>216</v>
      </c>
      <c r="C38" s="29" t="s">
        <v>217</v>
      </c>
      <c r="D38" s="29" t="n">
        <v>16</v>
      </c>
      <c r="E38" s="31" t="n">
        <v>2327680</v>
      </c>
      <c r="F38" s="31" t="n">
        <v>605008</v>
      </c>
      <c r="G38" s="37" t="n">
        <v>0.259918889194391</v>
      </c>
    </row>
    <row r="39" customFormat="false" ht="15" hidden="false" customHeight="false" outlineLevel="0" collapsed="false">
      <c r="A39" s="20" t="s">
        <v>238</v>
      </c>
      <c r="B39" s="20" t="s">
        <v>194</v>
      </c>
      <c r="C39" s="9" t="s">
        <v>195</v>
      </c>
      <c r="D39" s="9" t="n">
        <v>31</v>
      </c>
      <c r="E39" s="30" t="n">
        <v>2307664</v>
      </c>
      <c r="F39" s="30" t="n">
        <v>344775</v>
      </c>
      <c r="G39" s="35" t="n">
        <v>0.149404332693148</v>
      </c>
    </row>
    <row r="40" customFormat="false" ht="15" hidden="false" customHeight="false" outlineLevel="0" collapsed="false">
      <c r="A40" s="25" t="s">
        <v>239</v>
      </c>
      <c r="B40" s="25" t="s">
        <v>240</v>
      </c>
      <c r="C40" s="29" t="s">
        <v>223</v>
      </c>
      <c r="D40" s="29" t="n">
        <v>37</v>
      </c>
      <c r="E40" s="31" t="n">
        <v>2256519</v>
      </c>
      <c r="F40" s="31" t="n">
        <v>227254</v>
      </c>
      <c r="G40" s="37" t="n">
        <v>0.100709987374358</v>
      </c>
    </row>
    <row r="41" customFormat="false" ht="15" hidden="false" customHeight="false" outlineLevel="0" collapsed="false">
      <c r="A41" s="20" t="s">
        <v>241</v>
      </c>
      <c r="B41" s="20" t="s">
        <v>233</v>
      </c>
      <c r="C41" s="9" t="s">
        <v>223</v>
      </c>
      <c r="D41" s="9" t="n">
        <v>40</v>
      </c>
      <c r="E41" s="30" t="n">
        <v>2187760</v>
      </c>
      <c r="F41" s="30" t="n">
        <v>183400</v>
      </c>
      <c r="G41" s="35" t="n">
        <v>0.0838300362014115</v>
      </c>
    </row>
    <row r="42" customFormat="false" ht="15" hidden="false" customHeight="false" outlineLevel="0" collapsed="false">
      <c r="A42" s="25" t="s">
        <v>242</v>
      </c>
      <c r="B42" s="25" t="s">
        <v>194</v>
      </c>
      <c r="C42" s="29" t="s">
        <v>203</v>
      </c>
      <c r="D42" s="29" t="n">
        <v>41</v>
      </c>
      <c r="E42" s="31" t="n">
        <v>2097314</v>
      </c>
      <c r="F42" s="31" t="n">
        <v>256537</v>
      </c>
      <c r="G42" s="37" t="n">
        <v>0.12231692536263</v>
      </c>
    </row>
    <row r="43" customFormat="false" ht="15" hidden="false" customHeight="false" outlineLevel="0" collapsed="false">
      <c r="A43" s="20" t="s">
        <v>243</v>
      </c>
      <c r="B43" s="20" t="s">
        <v>194</v>
      </c>
      <c r="C43" s="9" t="s">
        <v>203</v>
      </c>
      <c r="D43" s="9" t="n">
        <v>31</v>
      </c>
      <c r="E43" s="30" t="n">
        <v>2081123</v>
      </c>
      <c r="F43" s="30" t="n">
        <v>305164</v>
      </c>
      <c r="G43" s="35" t="n">
        <v>0.146634293119628</v>
      </c>
    </row>
    <row r="44" customFormat="false" ht="15" hidden="false" customHeight="false" outlineLevel="0" collapsed="false">
      <c r="A44" s="25" t="s">
        <v>244</v>
      </c>
      <c r="B44" s="25" t="s">
        <v>194</v>
      </c>
      <c r="C44" s="29" t="s">
        <v>223</v>
      </c>
      <c r="D44" s="29" t="n">
        <v>19</v>
      </c>
      <c r="E44" s="31" t="n">
        <v>2022550</v>
      </c>
      <c r="F44" s="31" t="n">
        <v>258096</v>
      </c>
      <c r="G44" s="37" t="n">
        <v>0.127609206200094</v>
      </c>
    </row>
    <row r="45" customFormat="false" ht="15" hidden="false" customHeight="false" outlineLevel="0" collapsed="false">
      <c r="A45" s="20" t="s">
        <v>245</v>
      </c>
      <c r="B45" s="20" t="s">
        <v>194</v>
      </c>
      <c r="C45" s="9" t="s">
        <v>209</v>
      </c>
      <c r="D45" s="9" t="n">
        <v>36</v>
      </c>
      <c r="E45" s="30" t="n">
        <v>1999872</v>
      </c>
      <c r="F45" s="30" t="n">
        <v>371232</v>
      </c>
      <c r="G45" s="35" t="n">
        <v>0.185627880184332</v>
      </c>
    </row>
    <row r="46" customFormat="false" ht="15" hidden="false" customHeight="false" outlineLevel="0" collapsed="false">
      <c r="A46" s="25" t="s">
        <v>246</v>
      </c>
      <c r="B46" s="25" t="s">
        <v>194</v>
      </c>
      <c r="C46" s="29" t="s">
        <v>195</v>
      </c>
      <c r="D46" s="29" t="n">
        <v>68</v>
      </c>
      <c r="E46" s="31" t="n">
        <v>1997110</v>
      </c>
      <c r="F46" s="31" t="n">
        <v>383810</v>
      </c>
      <c r="G46" s="37" t="n">
        <v>0.192182704007291</v>
      </c>
    </row>
    <row r="47" customFormat="false" ht="15" hidden="false" customHeight="false" outlineLevel="0" collapsed="false">
      <c r="A47" s="20" t="s">
        <v>247</v>
      </c>
      <c r="B47" s="20" t="s">
        <v>194</v>
      </c>
      <c r="C47" s="9" t="s">
        <v>203</v>
      </c>
      <c r="D47" s="9" t="n">
        <v>55</v>
      </c>
      <c r="E47" s="30" t="n">
        <v>1971530</v>
      </c>
      <c r="F47" s="30" t="n">
        <v>436590</v>
      </c>
      <c r="G47" s="35" t="n">
        <v>0.221447302348937</v>
      </c>
    </row>
    <row r="48" customFormat="false" ht="15" hidden="false" customHeight="false" outlineLevel="0" collapsed="false">
      <c r="A48" s="25" t="s">
        <v>248</v>
      </c>
      <c r="B48" s="25" t="s">
        <v>194</v>
      </c>
      <c r="C48" s="29" t="s">
        <v>206</v>
      </c>
      <c r="D48" s="29" t="n">
        <v>33</v>
      </c>
      <c r="E48" s="31" t="n">
        <v>1963929</v>
      </c>
      <c r="F48" s="31" t="n">
        <v>-143451</v>
      </c>
      <c r="G48" s="37" t="n">
        <v>-0.0730428645842084</v>
      </c>
    </row>
    <row r="49" customFormat="false" ht="15" hidden="false" customHeight="false" outlineLevel="0" collapsed="false">
      <c r="A49" s="20" t="s">
        <v>249</v>
      </c>
      <c r="B49" s="20" t="s">
        <v>194</v>
      </c>
      <c r="C49" s="9" t="s">
        <v>217</v>
      </c>
      <c r="D49" s="9" t="n">
        <v>24</v>
      </c>
      <c r="E49" s="30" t="n">
        <v>1914672</v>
      </c>
      <c r="F49" s="30" t="n">
        <v>395376</v>
      </c>
      <c r="G49" s="35" t="n">
        <v>0.206498032038908</v>
      </c>
    </row>
    <row r="50" customFormat="false" ht="15" hidden="false" customHeight="false" outlineLevel="0" collapsed="false">
      <c r="A50" s="25" t="s">
        <v>250</v>
      </c>
      <c r="B50" s="25" t="s">
        <v>194</v>
      </c>
      <c r="C50" s="29" t="s">
        <v>195</v>
      </c>
      <c r="D50" s="29" t="n">
        <v>60</v>
      </c>
      <c r="E50" s="31" t="n">
        <v>1881691</v>
      </c>
      <c r="F50" s="31" t="n">
        <v>403411</v>
      </c>
      <c r="G50" s="37" t="n">
        <v>0.214387484448828</v>
      </c>
    </row>
    <row r="51" customFormat="false" ht="15" hidden="false" customHeight="false" outlineLevel="0" collapsed="false">
      <c r="A51" s="20" t="s">
        <v>251</v>
      </c>
      <c r="B51" s="20" t="s">
        <v>194</v>
      </c>
      <c r="C51" s="9" t="s">
        <v>203</v>
      </c>
      <c r="D51" s="9" t="n">
        <v>25</v>
      </c>
      <c r="E51" s="30" t="n">
        <v>1873850</v>
      </c>
      <c r="F51" s="30" t="n">
        <v>131350</v>
      </c>
      <c r="G51" s="35" t="n">
        <v>0.0700963257464578</v>
      </c>
    </row>
    <row r="52" customFormat="false" ht="15" hidden="false" customHeight="false" outlineLevel="0" collapsed="false">
      <c r="A52" s="25" t="s">
        <v>252</v>
      </c>
      <c r="B52" s="29" t="s">
        <v>253</v>
      </c>
      <c r="C52" s="29" t="s">
        <v>254</v>
      </c>
      <c r="D52" s="29" t="n">
        <v>61</v>
      </c>
      <c r="E52" s="31" t="n">
        <v>1818593</v>
      </c>
      <c r="F52" s="31" t="n">
        <v>588955</v>
      </c>
      <c r="G52" s="37" t="n">
        <v>0.323852010867742</v>
      </c>
    </row>
    <row r="53" customFormat="false" ht="15" hidden="false" customHeight="false" outlineLevel="0" collapsed="false">
      <c r="A53" s="20" t="s">
        <v>255</v>
      </c>
      <c r="B53" s="20" t="s">
        <v>194</v>
      </c>
      <c r="C53" s="9" t="s">
        <v>197</v>
      </c>
      <c r="D53" s="9" t="n">
        <v>243</v>
      </c>
      <c r="E53" s="30" t="n">
        <v>1749600</v>
      </c>
      <c r="F53" s="30" t="n">
        <v>965196</v>
      </c>
      <c r="G53" s="35" t="n">
        <v>0.551666666666667</v>
      </c>
    </row>
    <row r="54" customFormat="false" ht="15" hidden="false" customHeight="false" outlineLevel="0" collapsed="false">
      <c r="A54" s="25" t="s">
        <v>256</v>
      </c>
      <c r="B54" s="29" t="s">
        <v>257</v>
      </c>
      <c r="C54" s="29" t="s">
        <v>258</v>
      </c>
      <c r="D54" s="29" t="n">
        <v>44</v>
      </c>
      <c r="E54" s="31" t="n">
        <v>1728359</v>
      </c>
      <c r="F54" s="31" t="n">
        <v>259249</v>
      </c>
      <c r="G54" s="37" t="n">
        <v>0.149997193870024</v>
      </c>
    </row>
    <row r="55" customFormat="false" ht="15" hidden="false" customHeight="false" outlineLevel="0" collapsed="false">
      <c r="A55" s="20" t="s">
        <v>259</v>
      </c>
      <c r="B55" s="20" t="s">
        <v>194</v>
      </c>
      <c r="C55" s="9" t="s">
        <v>195</v>
      </c>
      <c r="D55" s="9" t="n">
        <v>24</v>
      </c>
      <c r="E55" s="30" t="n">
        <v>1705594</v>
      </c>
      <c r="F55" s="30" t="n">
        <v>140074</v>
      </c>
      <c r="G55" s="35" t="n">
        <v>0.0821262269918867</v>
      </c>
    </row>
    <row r="56" customFormat="false" ht="15" hidden="false" customHeight="false" outlineLevel="0" collapsed="false">
      <c r="A56" s="25" t="s">
        <v>260</v>
      </c>
      <c r="B56" s="25" t="s">
        <v>220</v>
      </c>
      <c r="C56" s="29" t="s">
        <v>217</v>
      </c>
      <c r="D56" s="29" t="n">
        <v>26</v>
      </c>
      <c r="E56" s="31" t="n">
        <v>1692912</v>
      </c>
      <c r="F56" s="31" t="n">
        <v>280462</v>
      </c>
      <c r="G56" s="37" t="n">
        <v>0.165668386779703</v>
      </c>
    </row>
    <row r="57" customFormat="false" ht="15" hidden="false" customHeight="false" outlineLevel="0" collapsed="false">
      <c r="A57" s="20" t="s">
        <v>261</v>
      </c>
      <c r="B57" s="20" t="s">
        <v>194</v>
      </c>
      <c r="C57" s="9" t="s">
        <v>229</v>
      </c>
      <c r="D57" s="9" t="n">
        <v>231</v>
      </c>
      <c r="E57" s="30" t="n">
        <v>1676547</v>
      </c>
      <c r="F57" s="30" t="n">
        <v>-63114</v>
      </c>
      <c r="G57" s="35" t="n">
        <v>-0.037645231538394</v>
      </c>
    </row>
    <row r="58" customFormat="false" ht="15" hidden="false" customHeight="false" outlineLevel="0" collapsed="false">
      <c r="A58" s="25" t="s">
        <v>262</v>
      </c>
      <c r="B58" s="25" t="s">
        <v>194</v>
      </c>
      <c r="C58" s="29" t="s">
        <v>195</v>
      </c>
      <c r="D58" s="29" t="n">
        <v>6</v>
      </c>
      <c r="E58" s="31" t="n">
        <v>1665870</v>
      </c>
      <c r="F58" s="31" t="n">
        <v>599814</v>
      </c>
      <c r="G58" s="37" t="n">
        <v>0.360060508923265</v>
      </c>
    </row>
    <row r="59" customFormat="false" ht="15" hidden="false" customHeight="false" outlineLevel="0" collapsed="false">
      <c r="A59" s="20" t="s">
        <v>263</v>
      </c>
      <c r="B59" s="20" t="s">
        <v>194</v>
      </c>
      <c r="C59" s="9" t="s">
        <v>203</v>
      </c>
      <c r="D59" s="9" t="n">
        <v>26</v>
      </c>
      <c r="E59" s="30" t="n">
        <v>1665456</v>
      </c>
      <c r="F59" s="30" t="n">
        <v>107536</v>
      </c>
      <c r="G59" s="35" t="n">
        <v>0.0645685025602597</v>
      </c>
    </row>
    <row r="60" customFormat="false" ht="15" hidden="false" customHeight="false" outlineLevel="0" collapsed="false">
      <c r="A60" s="25" t="s">
        <v>264</v>
      </c>
      <c r="B60" s="25" t="s">
        <v>194</v>
      </c>
      <c r="C60" s="29" t="s">
        <v>203</v>
      </c>
      <c r="D60" s="29" t="n">
        <v>93</v>
      </c>
      <c r="E60" s="31" t="n">
        <v>1581093</v>
      </c>
      <c r="F60" s="31" t="n">
        <v>664020</v>
      </c>
      <c r="G60" s="37" t="n">
        <v>0.419975295570849</v>
      </c>
    </row>
    <row r="61" customFormat="false" ht="15" hidden="false" customHeight="false" outlineLevel="0" collapsed="false">
      <c r="A61" s="20" t="s">
        <v>265</v>
      </c>
      <c r="B61" s="20" t="s">
        <v>194</v>
      </c>
      <c r="C61" s="9" t="s">
        <v>203</v>
      </c>
      <c r="D61" s="9" t="n">
        <v>31</v>
      </c>
      <c r="E61" s="30" t="n">
        <v>1523216</v>
      </c>
      <c r="F61" s="30" t="n">
        <v>46872</v>
      </c>
      <c r="G61" s="35" t="n">
        <v>0.0307717355910127</v>
      </c>
    </row>
    <row r="62" customFormat="false" ht="15" hidden="false" customHeight="false" outlineLevel="0" collapsed="false">
      <c r="A62" s="25" t="s">
        <v>266</v>
      </c>
      <c r="B62" s="25" t="s">
        <v>194</v>
      </c>
      <c r="C62" s="29" t="s">
        <v>203</v>
      </c>
      <c r="D62" s="29" t="n">
        <v>23</v>
      </c>
      <c r="E62" s="31" t="n">
        <v>1444699</v>
      </c>
      <c r="F62" s="31" t="n">
        <v>-188830</v>
      </c>
      <c r="G62" s="37" t="n">
        <v>-0.13070542722048</v>
      </c>
    </row>
    <row r="63" customFormat="false" ht="15" hidden="false" customHeight="false" outlineLevel="0" collapsed="false">
      <c r="A63" s="20" t="s">
        <v>267</v>
      </c>
      <c r="B63" s="20" t="s">
        <v>194</v>
      </c>
      <c r="C63" s="9" t="s">
        <v>197</v>
      </c>
      <c r="D63" s="9" t="n">
        <v>226</v>
      </c>
      <c r="E63" s="30" t="n">
        <v>1433744</v>
      </c>
      <c r="F63" s="30" t="n">
        <v>390528</v>
      </c>
      <c r="G63" s="35" t="n">
        <v>0.272383354350568</v>
      </c>
    </row>
    <row r="64" customFormat="false" ht="15" hidden="false" customHeight="false" outlineLevel="0" collapsed="false">
      <c r="A64" s="25" t="s">
        <v>268</v>
      </c>
      <c r="B64" s="25" t="s">
        <v>194</v>
      </c>
      <c r="C64" s="29" t="s">
        <v>197</v>
      </c>
      <c r="D64" s="29" t="n">
        <v>482</v>
      </c>
      <c r="E64" s="31" t="n">
        <v>1397318</v>
      </c>
      <c r="F64" s="31" t="n">
        <v>184124</v>
      </c>
      <c r="G64" s="37" t="n">
        <v>0.131769575715764</v>
      </c>
    </row>
    <row r="65" customFormat="false" ht="15" hidden="false" customHeight="false" outlineLevel="0" collapsed="false">
      <c r="A65" s="20" t="s">
        <v>269</v>
      </c>
      <c r="B65" s="20" t="s">
        <v>240</v>
      </c>
      <c r="C65" s="9" t="s">
        <v>258</v>
      </c>
      <c r="D65" s="9" t="n">
        <v>21</v>
      </c>
      <c r="E65" s="30" t="n">
        <v>1396626</v>
      </c>
      <c r="F65" s="30" t="n">
        <v>376845</v>
      </c>
      <c r="G65" s="35" t="n">
        <v>0.269825278922203</v>
      </c>
    </row>
    <row r="66" customFormat="false" ht="15" hidden="false" customHeight="false" outlineLevel="0" collapsed="false">
      <c r="A66" s="25" t="s">
        <v>270</v>
      </c>
      <c r="B66" s="25" t="s">
        <v>194</v>
      </c>
      <c r="C66" s="29" t="s">
        <v>209</v>
      </c>
      <c r="D66" s="29" t="n">
        <v>22</v>
      </c>
      <c r="E66" s="31" t="n">
        <v>1383272</v>
      </c>
      <c r="F66" s="31" t="n">
        <v>410784</v>
      </c>
      <c r="G66" s="37" t="n">
        <v>0.2969654558178</v>
      </c>
    </row>
    <row r="67" customFormat="false" ht="15" hidden="false" customHeight="false" outlineLevel="0" collapsed="false">
      <c r="A67" s="20" t="s">
        <v>271</v>
      </c>
      <c r="B67" s="20" t="s">
        <v>194</v>
      </c>
      <c r="C67" s="9" t="s">
        <v>195</v>
      </c>
      <c r="D67" s="9" t="n">
        <v>141</v>
      </c>
      <c r="E67" s="30" t="n">
        <v>1343988</v>
      </c>
      <c r="F67" s="30" t="n">
        <v>442716</v>
      </c>
      <c r="G67" s="35" t="n">
        <v>0.329404726827918</v>
      </c>
    </row>
    <row r="68" customFormat="false" ht="15" hidden="false" customHeight="false" outlineLevel="0" collapsed="false">
      <c r="A68" s="25" t="s">
        <v>272</v>
      </c>
      <c r="B68" s="25" t="s">
        <v>273</v>
      </c>
      <c r="C68" s="29" t="s">
        <v>274</v>
      </c>
      <c r="D68" s="29" t="n">
        <v>700</v>
      </c>
      <c r="E68" s="31" t="n">
        <v>1325800</v>
      </c>
      <c r="F68" s="31" t="n">
        <v>276500</v>
      </c>
      <c r="G68" s="37" t="n">
        <v>0.208553326293559</v>
      </c>
    </row>
    <row r="69" customFormat="false" ht="15" hidden="false" customHeight="false" outlineLevel="0" collapsed="false">
      <c r="A69" s="20" t="s">
        <v>275</v>
      </c>
      <c r="B69" s="20" t="s">
        <v>194</v>
      </c>
      <c r="C69" s="9" t="s">
        <v>206</v>
      </c>
      <c r="D69" s="9" t="n">
        <v>22</v>
      </c>
      <c r="E69" s="30" t="n">
        <v>1238094</v>
      </c>
      <c r="F69" s="30" t="n">
        <v>-184778</v>
      </c>
      <c r="G69" s="35" t="n">
        <v>-0.149243918474688</v>
      </c>
    </row>
    <row r="70" customFormat="false" ht="15" hidden="false" customHeight="false" outlineLevel="0" collapsed="false">
      <c r="A70" s="25" t="s">
        <v>276</v>
      </c>
      <c r="B70" s="25" t="s">
        <v>220</v>
      </c>
      <c r="C70" s="29" t="s">
        <v>217</v>
      </c>
      <c r="D70" s="29" t="n">
        <v>40</v>
      </c>
      <c r="E70" s="31" t="n">
        <v>1227040</v>
      </c>
      <c r="F70" s="31" t="n">
        <v>219520</v>
      </c>
      <c r="G70" s="37" t="n">
        <v>0.178902073282045</v>
      </c>
    </row>
    <row r="71" customFormat="false" ht="15" hidden="false" customHeight="false" outlineLevel="0" collapsed="false">
      <c r="A71" s="20" t="s">
        <v>277</v>
      </c>
      <c r="B71" s="20" t="s">
        <v>194</v>
      </c>
      <c r="C71" s="9" t="s">
        <v>203</v>
      </c>
      <c r="D71" s="9" t="n">
        <v>19</v>
      </c>
      <c r="E71" s="30" t="n">
        <v>1216247</v>
      </c>
      <c r="F71" s="30" t="n">
        <v>58767</v>
      </c>
      <c r="G71" s="35" t="n">
        <v>0.0483183103432115</v>
      </c>
    </row>
    <row r="72" customFormat="false" ht="15" hidden="false" customHeight="false" outlineLevel="0" collapsed="false">
      <c r="A72" s="25" t="s">
        <v>278</v>
      </c>
      <c r="B72" s="25" t="s">
        <v>194</v>
      </c>
      <c r="C72" s="29" t="s">
        <v>203</v>
      </c>
      <c r="D72" s="29" t="n">
        <v>237</v>
      </c>
      <c r="E72" s="31" t="n">
        <v>1203012</v>
      </c>
      <c r="F72" s="31" t="n">
        <v>358107</v>
      </c>
      <c r="G72" s="37" t="n">
        <v>0.297675334909378</v>
      </c>
    </row>
    <row r="73" customFormat="false" ht="15" hidden="false" customHeight="false" outlineLevel="0" collapsed="false">
      <c r="A73" s="20" t="s">
        <v>279</v>
      </c>
      <c r="B73" s="20" t="s">
        <v>220</v>
      </c>
      <c r="C73" s="9" t="s">
        <v>217</v>
      </c>
      <c r="D73" s="9" t="n">
        <v>29</v>
      </c>
      <c r="E73" s="30" t="n">
        <v>1128941</v>
      </c>
      <c r="F73" s="30" t="n">
        <v>131080</v>
      </c>
      <c r="G73" s="35" t="n">
        <v>0.116108813480953</v>
      </c>
    </row>
    <row r="74" customFormat="false" ht="15" hidden="false" customHeight="false" outlineLevel="0" collapsed="false">
      <c r="A74" s="25" t="s">
        <v>280</v>
      </c>
      <c r="B74" s="29" t="s">
        <v>281</v>
      </c>
      <c r="C74" s="29" t="s">
        <v>197</v>
      </c>
      <c r="D74" s="29" t="n">
        <v>239</v>
      </c>
      <c r="E74" s="31" t="n">
        <v>1120671</v>
      </c>
      <c r="F74" s="31" t="n">
        <v>151048</v>
      </c>
      <c r="G74" s="37" t="n">
        <v>0.134783535935167</v>
      </c>
    </row>
    <row r="75" customFormat="false" ht="15" hidden="false" customHeight="false" outlineLevel="0" collapsed="false">
      <c r="A75" s="20" t="s">
        <v>282</v>
      </c>
      <c r="B75" s="20" t="s">
        <v>194</v>
      </c>
      <c r="C75" s="9" t="s">
        <v>195</v>
      </c>
      <c r="D75" s="9" t="n">
        <v>213</v>
      </c>
      <c r="E75" s="30" t="n">
        <v>1114988</v>
      </c>
      <c r="F75" s="30" t="n">
        <v>135188</v>
      </c>
      <c r="G75" s="35" t="n">
        <v>0.121246147940606</v>
      </c>
    </row>
    <row r="76" customFormat="false" ht="15" hidden="false" customHeight="false" outlineLevel="0" collapsed="false">
      <c r="A76" s="25" t="s">
        <v>283</v>
      </c>
      <c r="B76" s="25" t="s">
        <v>194</v>
      </c>
      <c r="C76" s="29" t="s">
        <v>223</v>
      </c>
      <c r="D76" s="29" t="n">
        <v>19</v>
      </c>
      <c r="E76" s="31" t="n">
        <v>1093355</v>
      </c>
      <c r="F76" s="31" t="n">
        <v>227183</v>
      </c>
      <c r="G76" s="37" t="n">
        <v>0.207785211573551</v>
      </c>
    </row>
    <row r="77" customFormat="false" ht="15" hidden="false" customHeight="false" outlineLevel="0" collapsed="false">
      <c r="A77" s="20" t="s">
        <v>284</v>
      </c>
      <c r="B77" s="20" t="s">
        <v>194</v>
      </c>
      <c r="C77" s="9" t="s">
        <v>197</v>
      </c>
      <c r="D77" s="9" t="n">
        <v>212</v>
      </c>
      <c r="E77" s="30" t="n">
        <v>1091588</v>
      </c>
      <c r="F77" s="30" t="n">
        <v>252280</v>
      </c>
      <c r="G77" s="35" t="n">
        <v>0.231112837444164</v>
      </c>
    </row>
    <row r="78" customFormat="false" ht="15" hidden="false" customHeight="false" outlineLevel="0" collapsed="false">
      <c r="A78" s="25" t="s">
        <v>285</v>
      </c>
      <c r="B78" s="25" t="s">
        <v>194</v>
      </c>
      <c r="C78" s="29" t="s">
        <v>195</v>
      </c>
      <c r="D78" s="29" t="n">
        <v>32</v>
      </c>
      <c r="E78" s="31" t="n">
        <v>1082402</v>
      </c>
      <c r="F78" s="31" t="n">
        <v>172578</v>
      </c>
      <c r="G78" s="37" t="n">
        <v>0.15943983843341</v>
      </c>
    </row>
    <row r="79" customFormat="false" ht="15" hidden="false" customHeight="false" outlineLevel="0" collapsed="false">
      <c r="A79" s="20" t="s">
        <v>286</v>
      </c>
      <c r="B79" s="20" t="s">
        <v>194</v>
      </c>
      <c r="C79" s="9" t="s">
        <v>203</v>
      </c>
      <c r="D79" s="9" t="n">
        <v>67</v>
      </c>
      <c r="E79" s="30" t="n">
        <v>1073809</v>
      </c>
      <c r="F79" s="30" t="n">
        <v>248436</v>
      </c>
      <c r="G79" s="35" t="n">
        <v>0.231359580707556</v>
      </c>
    </row>
    <row r="80" customFormat="false" ht="15" hidden="false" customHeight="false" outlineLevel="0" collapsed="false">
      <c r="A80" s="25" t="s">
        <v>287</v>
      </c>
      <c r="B80" s="25" t="s">
        <v>220</v>
      </c>
      <c r="C80" s="29" t="s">
        <v>217</v>
      </c>
      <c r="D80" s="29" t="n">
        <v>34</v>
      </c>
      <c r="E80" s="31" t="n">
        <v>1066818</v>
      </c>
      <c r="F80" s="31" t="n">
        <v>214132</v>
      </c>
      <c r="G80" s="37" t="n">
        <v>0.200720272811295</v>
      </c>
    </row>
    <row r="81" customFormat="false" ht="15" hidden="false" customHeight="false" outlineLevel="0" collapsed="false">
      <c r="A81" s="20" t="s">
        <v>288</v>
      </c>
      <c r="B81" s="9" t="s">
        <v>289</v>
      </c>
      <c r="C81" s="9" t="s">
        <v>290</v>
      </c>
      <c r="D81" s="9" t="n">
        <v>15</v>
      </c>
      <c r="E81" s="30" t="n">
        <v>1062930</v>
      </c>
      <c r="F81" s="30" t="n">
        <v>277575</v>
      </c>
      <c r="G81" s="35" t="n">
        <v>0.261141373373599</v>
      </c>
    </row>
    <row r="82" customFormat="false" ht="15" hidden="false" customHeight="false" outlineLevel="0" collapsed="false">
      <c r="A82" s="25" t="s">
        <v>291</v>
      </c>
      <c r="B82" s="25" t="s">
        <v>194</v>
      </c>
      <c r="C82" s="29" t="s">
        <v>203</v>
      </c>
      <c r="D82" s="29" t="n">
        <v>20</v>
      </c>
      <c r="E82" s="31" t="n">
        <v>1053420</v>
      </c>
      <c r="F82" s="31" t="n">
        <v>-37840</v>
      </c>
      <c r="G82" s="37" t="n">
        <v>-0.0359210950997702</v>
      </c>
    </row>
    <row r="83" customFormat="false" ht="15" hidden="false" customHeight="false" outlineLevel="0" collapsed="false">
      <c r="A83" s="20" t="s">
        <v>292</v>
      </c>
      <c r="B83" s="20" t="s">
        <v>293</v>
      </c>
      <c r="C83" s="9" t="s">
        <v>217</v>
      </c>
      <c r="D83" s="9" t="n">
        <v>95</v>
      </c>
      <c r="E83" s="30" t="n">
        <v>1051270</v>
      </c>
      <c r="F83" s="30" t="n">
        <v>148390</v>
      </c>
      <c r="G83" s="35" t="n">
        <v>0.141153081510934</v>
      </c>
    </row>
    <row r="84" customFormat="false" ht="15" hidden="false" customHeight="false" outlineLevel="0" collapsed="false">
      <c r="A84" s="25" t="s">
        <v>294</v>
      </c>
      <c r="B84" s="25" t="s">
        <v>194</v>
      </c>
      <c r="C84" s="29" t="s">
        <v>295</v>
      </c>
      <c r="D84" s="29" t="n">
        <v>15</v>
      </c>
      <c r="E84" s="31" t="n">
        <v>1035435</v>
      </c>
      <c r="F84" s="31" t="n">
        <v>100035</v>
      </c>
      <c r="G84" s="37" t="n">
        <v>0.0966115690506888</v>
      </c>
    </row>
    <row r="85" customFormat="false" ht="15" hidden="false" customHeight="false" outlineLevel="0" collapsed="false">
      <c r="A85" s="20" t="s">
        <v>296</v>
      </c>
      <c r="B85" s="20" t="s">
        <v>194</v>
      </c>
      <c r="C85" s="9" t="s">
        <v>297</v>
      </c>
      <c r="D85" s="9" t="n">
        <v>25</v>
      </c>
      <c r="E85" s="30" t="n">
        <v>1031325</v>
      </c>
      <c r="F85" s="30" t="n">
        <v>284650</v>
      </c>
      <c r="G85" s="35" t="n">
        <v>0.276004169393741</v>
      </c>
    </row>
    <row r="86" customFormat="false" ht="15" hidden="false" customHeight="false" outlineLevel="0" collapsed="false">
      <c r="A86" s="25" t="s">
        <v>298</v>
      </c>
      <c r="B86" s="25" t="s">
        <v>194</v>
      </c>
      <c r="C86" s="29" t="s">
        <v>209</v>
      </c>
      <c r="D86" s="29" t="n">
        <v>22</v>
      </c>
      <c r="E86" s="31" t="n">
        <v>1027708</v>
      </c>
      <c r="F86" s="31" t="n">
        <v>78518</v>
      </c>
      <c r="G86" s="37" t="n">
        <v>0.0764010789056813</v>
      </c>
    </row>
    <row r="87" customFormat="false" ht="15" hidden="false" customHeight="false" outlineLevel="0" collapsed="false">
      <c r="A87" s="20" t="s">
        <v>299</v>
      </c>
      <c r="B87" s="20" t="s">
        <v>194</v>
      </c>
      <c r="C87" s="9" t="s">
        <v>203</v>
      </c>
      <c r="D87" s="9" t="n">
        <v>159</v>
      </c>
      <c r="E87" s="30" t="n">
        <v>1011558</v>
      </c>
      <c r="F87" s="30" t="n">
        <v>348051</v>
      </c>
      <c r="G87" s="35" t="n">
        <v>0.34407419050613</v>
      </c>
    </row>
    <row r="88" customFormat="false" ht="15" hidden="false" customHeight="false" outlineLevel="0" collapsed="false">
      <c r="A88" s="25" t="s">
        <v>300</v>
      </c>
      <c r="B88" s="25" t="s">
        <v>194</v>
      </c>
      <c r="C88" s="29" t="s">
        <v>217</v>
      </c>
      <c r="D88" s="29" t="n">
        <v>210</v>
      </c>
      <c r="E88" s="31" t="n">
        <v>1008420</v>
      </c>
      <c r="F88" s="31" t="n">
        <v>805200</v>
      </c>
      <c r="G88" s="37" t="n">
        <v>0.798476825132385</v>
      </c>
    </row>
    <row r="89" customFormat="false" ht="15" hidden="false" customHeight="false" outlineLevel="0" collapsed="false">
      <c r="A89" s="20" t="s">
        <v>301</v>
      </c>
      <c r="B89" s="20" t="s">
        <v>200</v>
      </c>
      <c r="C89" s="9" t="s">
        <v>223</v>
      </c>
      <c r="D89" s="9" t="n">
        <v>19</v>
      </c>
      <c r="E89" s="30" t="n">
        <v>1000065</v>
      </c>
      <c r="F89" s="30" t="n">
        <v>105564</v>
      </c>
      <c r="G89" s="35" t="n">
        <v>0.105557138785979</v>
      </c>
    </row>
    <row r="90" customFormat="false" ht="15" hidden="false" customHeight="false" outlineLevel="0" collapsed="false">
      <c r="A90" s="25" t="s">
        <v>302</v>
      </c>
      <c r="B90" s="25" t="s">
        <v>194</v>
      </c>
      <c r="C90" s="29" t="s">
        <v>217</v>
      </c>
      <c r="D90" s="29" t="n">
        <v>11</v>
      </c>
      <c r="E90" s="31" t="n">
        <v>963490</v>
      </c>
      <c r="F90" s="31" t="n">
        <v>202334</v>
      </c>
      <c r="G90" s="37" t="n">
        <v>0.210001141682841</v>
      </c>
    </row>
    <row r="91" customFormat="false" ht="15" hidden="false" customHeight="false" outlineLevel="0" collapsed="false">
      <c r="A91" s="20" t="s">
        <v>303</v>
      </c>
      <c r="B91" s="9" t="s">
        <v>253</v>
      </c>
      <c r="C91" s="9" t="s">
        <v>304</v>
      </c>
      <c r="D91" s="9" t="n">
        <v>1200</v>
      </c>
      <c r="E91" s="30" t="n">
        <v>945600</v>
      </c>
      <c r="F91" s="30" t="n">
        <v>382800</v>
      </c>
      <c r="G91" s="35" t="n">
        <v>0.404822335025381</v>
      </c>
    </row>
    <row r="92" customFormat="false" ht="15" hidden="false" customHeight="false" outlineLevel="0" collapsed="false">
      <c r="A92" s="25" t="s">
        <v>305</v>
      </c>
      <c r="B92" s="25" t="s">
        <v>194</v>
      </c>
      <c r="C92" s="29" t="s">
        <v>217</v>
      </c>
      <c r="D92" s="29" t="n">
        <v>14</v>
      </c>
      <c r="E92" s="31" t="n">
        <v>943460</v>
      </c>
      <c r="F92" s="31" t="n">
        <v>213514</v>
      </c>
      <c r="G92" s="37" t="n">
        <v>0.226309541474996</v>
      </c>
    </row>
    <row r="93" customFormat="false" ht="15" hidden="false" customHeight="false" outlineLevel="0" collapsed="false">
      <c r="A93" s="20" t="s">
        <v>306</v>
      </c>
      <c r="B93" s="20" t="s">
        <v>194</v>
      </c>
      <c r="C93" s="9" t="s">
        <v>217</v>
      </c>
      <c r="D93" s="9" t="n">
        <v>90</v>
      </c>
      <c r="E93" s="30" t="n">
        <v>911250</v>
      </c>
      <c r="F93" s="30" t="n">
        <v>333180</v>
      </c>
      <c r="G93" s="35" t="n">
        <v>0.36562962962963</v>
      </c>
    </row>
    <row r="94" customFormat="false" ht="15" hidden="false" customHeight="false" outlineLevel="0" collapsed="false">
      <c r="A94" s="25" t="s">
        <v>307</v>
      </c>
      <c r="B94" s="25" t="s">
        <v>308</v>
      </c>
      <c r="C94" s="29" t="s">
        <v>309</v>
      </c>
      <c r="D94" s="29" t="n">
        <v>480</v>
      </c>
      <c r="E94" s="31" t="n">
        <v>883200</v>
      </c>
      <c r="F94" s="31" t="n">
        <v>786240</v>
      </c>
      <c r="G94" s="37" t="n">
        <v>0.890217391304348</v>
      </c>
    </row>
    <row r="95" customFormat="false" ht="15" hidden="false" customHeight="false" outlineLevel="0" collapsed="false">
      <c r="A95" s="20" t="s">
        <v>310</v>
      </c>
      <c r="B95" s="20" t="s">
        <v>200</v>
      </c>
      <c r="C95" s="9" t="s">
        <v>201</v>
      </c>
      <c r="D95" s="9" t="n">
        <v>8</v>
      </c>
      <c r="E95" s="30" t="n">
        <v>881992</v>
      </c>
      <c r="F95" s="30" t="n">
        <v>124384</v>
      </c>
      <c r="G95" s="35" t="n">
        <v>0.141026222460068</v>
      </c>
    </row>
    <row r="96" customFormat="false" ht="15" hidden="false" customHeight="false" outlineLevel="0" collapsed="false">
      <c r="A96" s="25" t="s">
        <v>311</v>
      </c>
      <c r="B96" s="29" t="s">
        <v>312</v>
      </c>
      <c r="C96" s="29" t="s">
        <v>309</v>
      </c>
      <c r="D96" s="29" t="n">
        <v>600</v>
      </c>
      <c r="E96" s="31" t="n">
        <v>855600</v>
      </c>
      <c r="F96" s="31" t="n">
        <v>658800</v>
      </c>
      <c r="G96" s="37" t="n">
        <v>0.769985974754558</v>
      </c>
    </row>
    <row r="97" customFormat="false" ht="15" hidden="false" customHeight="false" outlineLevel="0" collapsed="false">
      <c r="A97" s="20" t="s">
        <v>313</v>
      </c>
      <c r="B97" s="20" t="s">
        <v>194</v>
      </c>
      <c r="C97" s="9" t="s">
        <v>217</v>
      </c>
      <c r="D97" s="9" t="n">
        <v>19</v>
      </c>
      <c r="E97" s="30" t="n">
        <v>849376</v>
      </c>
      <c r="F97" s="30" t="n">
        <v>245461</v>
      </c>
      <c r="G97" s="35" t="n">
        <v>0.288989799570508</v>
      </c>
    </row>
    <row r="98" customFormat="false" ht="15" hidden="false" customHeight="false" outlineLevel="0" collapsed="false">
      <c r="A98" s="25" t="s">
        <v>314</v>
      </c>
      <c r="B98" s="25" t="s">
        <v>194</v>
      </c>
      <c r="C98" s="29" t="s">
        <v>217</v>
      </c>
      <c r="D98" s="29" t="n">
        <v>95</v>
      </c>
      <c r="E98" s="31" t="n">
        <v>830395</v>
      </c>
      <c r="F98" s="31" t="n">
        <v>9690</v>
      </c>
      <c r="G98" s="37" t="n">
        <v>0.011669145406704</v>
      </c>
    </row>
    <row r="99" customFormat="false" ht="15" hidden="false" customHeight="false" outlineLevel="0" collapsed="false">
      <c r="A99" s="20" t="s">
        <v>315</v>
      </c>
      <c r="B99" s="20" t="s">
        <v>315</v>
      </c>
      <c r="C99" s="9" t="s">
        <v>316</v>
      </c>
      <c r="D99" s="9" t="n">
        <v>16</v>
      </c>
      <c r="E99" s="30" t="n">
        <v>824331</v>
      </c>
      <c r="F99" s="30" t="n">
        <v>123649</v>
      </c>
      <c r="G99" s="35" t="n">
        <v>0.149999211481796</v>
      </c>
    </row>
    <row r="100" customFormat="false" ht="15" hidden="false" customHeight="false" outlineLevel="0" collapsed="false">
      <c r="A100" s="25" t="s">
        <v>317</v>
      </c>
      <c r="B100" s="25" t="s">
        <v>318</v>
      </c>
      <c r="C100" s="29" t="s">
        <v>229</v>
      </c>
      <c r="D100" s="29" t="n">
        <v>453</v>
      </c>
      <c r="E100" s="31" t="n">
        <v>815400</v>
      </c>
      <c r="F100" s="31" t="n">
        <v>83352</v>
      </c>
      <c r="G100" s="37" t="n">
        <v>0.102222222222222</v>
      </c>
    </row>
    <row r="101" customFormat="false" ht="15" hidden="false" customHeight="false" outlineLevel="0" collapsed="false">
      <c r="A101" s="20" t="s">
        <v>319</v>
      </c>
      <c r="B101" s="20" t="s">
        <v>194</v>
      </c>
      <c r="C101" s="9" t="s">
        <v>195</v>
      </c>
      <c r="D101" s="9" t="n">
        <v>118</v>
      </c>
      <c r="E101" s="30" t="n">
        <v>814211</v>
      </c>
      <c r="F101" s="30" t="n">
        <v>292415</v>
      </c>
      <c r="G101" s="35" t="n">
        <v>0.359139092937826</v>
      </c>
    </row>
    <row r="102" customFormat="false" ht="15" hidden="false" customHeight="false" outlineLevel="0" collapsed="false">
      <c r="A102" s="25" t="s">
        <v>320</v>
      </c>
      <c r="B102" s="25" t="s">
        <v>194</v>
      </c>
      <c r="C102" s="29" t="s">
        <v>297</v>
      </c>
      <c r="D102" s="29" t="n">
        <v>17</v>
      </c>
      <c r="E102" s="31" t="n">
        <v>811886</v>
      </c>
      <c r="F102" s="31" t="n">
        <v>300373</v>
      </c>
      <c r="G102" s="37" t="n">
        <v>0.369969429205578</v>
      </c>
    </row>
    <row r="103" customFormat="false" ht="15" hidden="false" customHeight="false" outlineLevel="0" collapsed="false">
      <c r="A103" s="20" t="s">
        <v>321</v>
      </c>
      <c r="B103" s="20" t="s">
        <v>233</v>
      </c>
      <c r="C103" s="9" t="s">
        <v>223</v>
      </c>
      <c r="D103" s="9" t="n">
        <v>65</v>
      </c>
      <c r="E103" s="30" t="n">
        <v>804440</v>
      </c>
      <c r="F103" s="30" t="n">
        <v>60645</v>
      </c>
      <c r="G103" s="35" t="n">
        <v>0.0753878474466709</v>
      </c>
    </row>
    <row r="104" customFormat="false" ht="15" hidden="false" customHeight="false" outlineLevel="0" collapsed="false">
      <c r="A104" s="25" t="s">
        <v>322</v>
      </c>
      <c r="B104" s="25" t="s">
        <v>200</v>
      </c>
      <c r="C104" s="29" t="s">
        <v>201</v>
      </c>
      <c r="D104" s="29" t="n">
        <v>45</v>
      </c>
      <c r="E104" s="31" t="n">
        <v>798795</v>
      </c>
      <c r="F104" s="31" t="n">
        <v>280530</v>
      </c>
      <c r="G104" s="37" t="n">
        <v>0.351191482170019</v>
      </c>
    </row>
    <row r="105" customFormat="false" ht="15" hidden="false" customHeight="false" outlineLevel="0" collapsed="false">
      <c r="A105" s="20" t="s">
        <v>323</v>
      </c>
      <c r="B105" s="9" t="s">
        <v>281</v>
      </c>
      <c r="C105" s="9" t="s">
        <v>197</v>
      </c>
      <c r="D105" s="9" t="n">
        <v>193</v>
      </c>
      <c r="E105" s="30" t="n">
        <v>791879</v>
      </c>
      <c r="F105" s="30" t="n">
        <v>286798</v>
      </c>
      <c r="G105" s="35" t="n">
        <v>0.36217401901048</v>
      </c>
    </row>
    <row r="106" customFormat="false" ht="15" hidden="false" customHeight="false" outlineLevel="0" collapsed="false">
      <c r="A106" s="25" t="s">
        <v>324</v>
      </c>
      <c r="B106" s="25" t="s">
        <v>194</v>
      </c>
      <c r="C106" s="29" t="s">
        <v>203</v>
      </c>
      <c r="D106" s="29" t="n">
        <v>9</v>
      </c>
      <c r="E106" s="31" t="n">
        <v>789372</v>
      </c>
      <c r="F106" s="31" t="n">
        <v>129807</v>
      </c>
      <c r="G106" s="37" t="n">
        <v>0.164443380307384</v>
      </c>
    </row>
    <row r="107" customFormat="false" ht="15" hidden="false" customHeight="false" outlineLevel="0" collapsed="false">
      <c r="A107" s="20" t="s">
        <v>325</v>
      </c>
      <c r="B107" s="9" t="s">
        <v>326</v>
      </c>
      <c r="C107" s="9" t="s">
        <v>297</v>
      </c>
      <c r="D107" s="9" t="n">
        <v>81</v>
      </c>
      <c r="E107" s="30" t="n">
        <v>784764</v>
      </c>
      <c r="F107" s="30" t="n">
        <v>117715</v>
      </c>
      <c r="G107" s="35" t="n">
        <v>0.150000509707377</v>
      </c>
    </row>
    <row r="108" customFormat="false" ht="15" hidden="false" customHeight="false" outlineLevel="0" collapsed="false">
      <c r="A108" s="25" t="s">
        <v>327</v>
      </c>
      <c r="B108" s="25" t="s">
        <v>194</v>
      </c>
      <c r="C108" s="29" t="s">
        <v>203</v>
      </c>
      <c r="D108" s="29" t="n">
        <v>16</v>
      </c>
      <c r="E108" s="31" t="n">
        <v>776576</v>
      </c>
      <c r="F108" s="31" t="n">
        <v>-4592</v>
      </c>
      <c r="G108" s="37" t="n">
        <v>-0.0059131366408439</v>
      </c>
    </row>
    <row r="109" customFormat="false" ht="15" hidden="false" customHeight="false" outlineLevel="0" collapsed="false">
      <c r="A109" s="20" t="s">
        <v>328</v>
      </c>
      <c r="B109" s="20" t="s">
        <v>194</v>
      </c>
      <c r="C109" s="9" t="s">
        <v>217</v>
      </c>
      <c r="D109" s="9" t="n">
        <v>90</v>
      </c>
      <c r="E109" s="30" t="n">
        <v>771930</v>
      </c>
      <c r="F109" s="30" t="n">
        <v>13590</v>
      </c>
      <c r="G109" s="35" t="n">
        <v>0.0176052232715401</v>
      </c>
    </row>
    <row r="110" customFormat="false" ht="15" hidden="false" customHeight="false" outlineLevel="0" collapsed="false">
      <c r="A110" s="25" t="s">
        <v>329</v>
      </c>
      <c r="B110" s="25" t="s">
        <v>194</v>
      </c>
      <c r="C110" s="29" t="s">
        <v>203</v>
      </c>
      <c r="D110" s="29" t="n">
        <v>10</v>
      </c>
      <c r="E110" s="31" t="n">
        <v>768240</v>
      </c>
      <c r="F110" s="31" t="n">
        <v>164060</v>
      </c>
      <c r="G110" s="37" t="n">
        <v>0.213553056336562</v>
      </c>
    </row>
    <row r="111" customFormat="false" ht="15" hidden="false" customHeight="false" outlineLevel="0" collapsed="false">
      <c r="A111" s="20" t="s">
        <v>330</v>
      </c>
      <c r="B111" s="20" t="s">
        <v>194</v>
      </c>
      <c r="C111" s="9" t="s">
        <v>203</v>
      </c>
      <c r="D111" s="9" t="n">
        <v>5</v>
      </c>
      <c r="E111" s="30" t="n">
        <v>768025</v>
      </c>
      <c r="F111" s="30" t="n">
        <v>529215</v>
      </c>
      <c r="G111" s="35" t="n">
        <v>0.689059600924449</v>
      </c>
    </row>
    <row r="112" customFormat="false" ht="15" hidden="false" customHeight="false" outlineLevel="0" collapsed="false">
      <c r="A112" s="25" t="s">
        <v>331</v>
      </c>
      <c r="B112" s="25" t="s">
        <v>332</v>
      </c>
      <c r="C112" s="29" t="s">
        <v>217</v>
      </c>
      <c r="D112" s="29" t="n">
        <v>30</v>
      </c>
      <c r="E112" s="31" t="n">
        <v>762870</v>
      </c>
      <c r="F112" s="31" t="n">
        <v>81600</v>
      </c>
      <c r="G112" s="37" t="n">
        <v>0.106964489362539</v>
      </c>
    </row>
    <row r="113" customFormat="false" ht="15" hidden="false" customHeight="false" outlineLevel="0" collapsed="false">
      <c r="A113" s="20" t="s">
        <v>333</v>
      </c>
      <c r="B113" s="20" t="s">
        <v>194</v>
      </c>
      <c r="C113" s="9" t="s">
        <v>334</v>
      </c>
      <c r="D113" s="9" t="n">
        <v>52</v>
      </c>
      <c r="E113" s="30" t="n">
        <v>758004</v>
      </c>
      <c r="F113" s="30" t="n">
        <v>24596</v>
      </c>
      <c r="G113" s="35" t="n">
        <v>0.0324483775811209</v>
      </c>
    </row>
    <row r="114" customFormat="false" ht="15" hidden="false" customHeight="false" outlineLevel="0" collapsed="false">
      <c r="A114" s="25" t="s">
        <v>335</v>
      </c>
      <c r="B114" s="25" t="s">
        <v>200</v>
      </c>
      <c r="C114" s="29" t="s">
        <v>223</v>
      </c>
      <c r="D114" s="29" t="n">
        <v>20</v>
      </c>
      <c r="E114" s="31" t="n">
        <v>746700</v>
      </c>
      <c r="F114" s="31" t="n">
        <v>189980</v>
      </c>
      <c r="G114" s="37" t="n">
        <v>0.254426141690103</v>
      </c>
    </row>
    <row r="115" customFormat="false" ht="15" hidden="false" customHeight="false" outlineLevel="0" collapsed="false">
      <c r="A115" s="20" t="s">
        <v>336</v>
      </c>
      <c r="B115" s="20" t="s">
        <v>194</v>
      </c>
      <c r="C115" s="9" t="s">
        <v>203</v>
      </c>
      <c r="D115" s="9" t="n">
        <v>33</v>
      </c>
      <c r="E115" s="30" t="n">
        <v>738342</v>
      </c>
      <c r="F115" s="30" t="n">
        <v>194832</v>
      </c>
      <c r="G115" s="35" t="n">
        <v>0.263877715205149</v>
      </c>
    </row>
    <row r="116" customFormat="false" ht="15" hidden="false" customHeight="false" outlineLevel="0" collapsed="false">
      <c r="A116" s="25" t="s">
        <v>337</v>
      </c>
      <c r="B116" s="25" t="s">
        <v>194</v>
      </c>
      <c r="C116" s="29" t="s">
        <v>334</v>
      </c>
      <c r="D116" s="29" t="n">
        <v>16</v>
      </c>
      <c r="E116" s="31" t="n">
        <v>735928</v>
      </c>
      <c r="F116" s="31" t="n">
        <v>72328</v>
      </c>
      <c r="G116" s="37" t="n">
        <v>0.0982813536106793</v>
      </c>
    </row>
    <row r="117" customFormat="false" ht="15" hidden="false" customHeight="false" outlineLevel="0" collapsed="false">
      <c r="A117" s="20" t="s">
        <v>338</v>
      </c>
      <c r="B117" s="20" t="s">
        <v>194</v>
      </c>
      <c r="C117" s="9" t="s">
        <v>203</v>
      </c>
      <c r="D117" s="9" t="n">
        <v>11</v>
      </c>
      <c r="E117" s="30" t="n">
        <v>735878</v>
      </c>
      <c r="F117" s="30" t="n">
        <v>125664</v>
      </c>
      <c r="G117" s="35" t="n">
        <v>0.170767436993632</v>
      </c>
    </row>
    <row r="118" customFormat="false" ht="15" hidden="false" customHeight="false" outlineLevel="0" collapsed="false">
      <c r="A118" s="25" t="s">
        <v>339</v>
      </c>
      <c r="B118" s="25" t="s">
        <v>194</v>
      </c>
      <c r="C118" s="29" t="s">
        <v>203</v>
      </c>
      <c r="D118" s="29" t="n">
        <v>125</v>
      </c>
      <c r="E118" s="31" t="n">
        <v>735625</v>
      </c>
      <c r="F118" s="31" t="n">
        <v>229000</v>
      </c>
      <c r="G118" s="37" t="n">
        <v>0.311299915038233</v>
      </c>
    </row>
    <row r="119" customFormat="false" ht="15" hidden="false" customHeight="false" outlineLevel="0" collapsed="false">
      <c r="A119" s="20" t="s">
        <v>340</v>
      </c>
      <c r="B119" s="20" t="s">
        <v>194</v>
      </c>
      <c r="C119" s="9" t="s">
        <v>217</v>
      </c>
      <c r="D119" s="9" t="n">
        <v>9</v>
      </c>
      <c r="E119" s="30" t="n">
        <v>722466</v>
      </c>
      <c r="F119" s="30" t="n">
        <v>166212</v>
      </c>
      <c r="G119" s="35" t="n">
        <v>0.230062037521489</v>
      </c>
    </row>
    <row r="120" customFormat="false" ht="15" hidden="false" customHeight="false" outlineLevel="0" collapsed="false">
      <c r="A120" s="25" t="s">
        <v>341</v>
      </c>
      <c r="B120" s="29" t="s">
        <v>253</v>
      </c>
      <c r="C120" s="29" t="s">
        <v>201</v>
      </c>
      <c r="D120" s="29" t="n">
        <v>67</v>
      </c>
      <c r="E120" s="31" t="n">
        <v>721791</v>
      </c>
      <c r="F120" s="31" t="n">
        <v>104051</v>
      </c>
      <c r="G120" s="37" t="n">
        <v>0.144156688016337</v>
      </c>
    </row>
    <row r="121" customFormat="false" ht="15" hidden="false" customHeight="false" outlineLevel="0" collapsed="false">
      <c r="A121" s="20" t="s">
        <v>342</v>
      </c>
      <c r="B121" s="20" t="s">
        <v>194</v>
      </c>
      <c r="C121" s="9" t="s">
        <v>217</v>
      </c>
      <c r="D121" s="9" t="n">
        <v>10</v>
      </c>
      <c r="E121" s="30" t="n">
        <v>721550</v>
      </c>
      <c r="F121" s="30" t="n">
        <v>136120</v>
      </c>
      <c r="G121" s="35" t="n">
        <v>0.188649435243573</v>
      </c>
    </row>
    <row r="122" customFormat="false" ht="15" hidden="false" customHeight="false" outlineLevel="0" collapsed="false">
      <c r="A122" s="25" t="s">
        <v>343</v>
      </c>
      <c r="B122" s="25" t="s">
        <v>194</v>
      </c>
      <c r="C122" s="29" t="s">
        <v>203</v>
      </c>
      <c r="D122" s="29" t="n">
        <v>51</v>
      </c>
      <c r="E122" s="31" t="n">
        <v>704973</v>
      </c>
      <c r="F122" s="31" t="n">
        <v>139791</v>
      </c>
      <c r="G122" s="37" t="n">
        <v>0.198292700571511</v>
      </c>
    </row>
    <row r="123" customFormat="false" ht="15" hidden="false" customHeight="false" outlineLevel="0" collapsed="false">
      <c r="A123" s="20" t="s">
        <v>344</v>
      </c>
      <c r="B123" s="20" t="s">
        <v>194</v>
      </c>
      <c r="C123" s="9" t="s">
        <v>203</v>
      </c>
      <c r="D123" s="9" t="n">
        <v>28</v>
      </c>
      <c r="E123" s="30" t="n">
        <v>697928</v>
      </c>
      <c r="F123" s="30" t="n">
        <v>127120</v>
      </c>
      <c r="G123" s="35" t="n">
        <v>0.182139131830217</v>
      </c>
    </row>
    <row r="124" customFormat="false" ht="15" hidden="false" customHeight="false" outlineLevel="0" collapsed="false">
      <c r="A124" s="25" t="s">
        <v>345</v>
      </c>
      <c r="B124" s="25" t="s">
        <v>194</v>
      </c>
      <c r="C124" s="29" t="s">
        <v>203</v>
      </c>
      <c r="D124" s="29" t="n">
        <v>161</v>
      </c>
      <c r="E124" s="31" t="n">
        <v>694876</v>
      </c>
      <c r="F124" s="31" t="n">
        <v>256956</v>
      </c>
      <c r="G124" s="37" t="n">
        <v>0.369786839666358</v>
      </c>
    </row>
    <row r="125" customFormat="false" ht="15" hidden="false" customHeight="false" outlineLevel="0" collapsed="false">
      <c r="A125" s="20" t="s">
        <v>346</v>
      </c>
      <c r="B125" s="20" t="s">
        <v>194</v>
      </c>
      <c r="C125" s="9" t="s">
        <v>203</v>
      </c>
      <c r="D125" s="9" t="n">
        <v>161</v>
      </c>
      <c r="E125" s="30" t="n">
        <v>682479</v>
      </c>
      <c r="F125" s="30" t="n">
        <v>300748</v>
      </c>
      <c r="G125" s="35" t="n">
        <v>0.44066996933239</v>
      </c>
    </row>
    <row r="126" customFormat="false" ht="15" hidden="false" customHeight="false" outlineLevel="0" collapsed="false">
      <c r="A126" s="25" t="s">
        <v>347</v>
      </c>
      <c r="B126" s="29" t="s">
        <v>348</v>
      </c>
      <c r="C126" s="29" t="s">
        <v>297</v>
      </c>
      <c r="D126" s="29" t="n">
        <v>81</v>
      </c>
      <c r="E126" s="31" t="n">
        <v>676719</v>
      </c>
      <c r="F126" s="31" t="n">
        <v>101504</v>
      </c>
      <c r="G126" s="37" t="n">
        <v>0.149994310784831</v>
      </c>
    </row>
    <row r="127" customFormat="false" ht="15" hidden="false" customHeight="false" outlineLevel="0" collapsed="false">
      <c r="A127" s="20" t="s">
        <v>349</v>
      </c>
      <c r="B127" s="9" t="s">
        <v>253</v>
      </c>
      <c r="C127" s="9" t="s">
        <v>254</v>
      </c>
      <c r="D127" s="9" t="n">
        <v>38</v>
      </c>
      <c r="E127" s="30" t="n">
        <v>670130</v>
      </c>
      <c r="F127" s="30" t="n">
        <v>252320</v>
      </c>
      <c r="G127" s="35" t="n">
        <v>0.376523958037993</v>
      </c>
    </row>
    <row r="128" customFormat="false" ht="15" hidden="false" customHeight="false" outlineLevel="0" collapsed="false">
      <c r="A128" s="25" t="s">
        <v>350</v>
      </c>
      <c r="B128" s="25" t="s">
        <v>194</v>
      </c>
      <c r="C128" s="29" t="s">
        <v>195</v>
      </c>
      <c r="D128" s="29" t="n">
        <v>8</v>
      </c>
      <c r="E128" s="31" t="n">
        <v>665224</v>
      </c>
      <c r="F128" s="31" t="n">
        <v>157840</v>
      </c>
      <c r="G128" s="37" t="n">
        <v>0.237273459766936</v>
      </c>
    </row>
    <row r="129" customFormat="false" ht="15" hidden="false" customHeight="false" outlineLevel="0" collapsed="false">
      <c r="A129" s="20" t="s">
        <v>351</v>
      </c>
      <c r="B129" s="20" t="s">
        <v>194</v>
      </c>
      <c r="C129" s="9" t="s">
        <v>203</v>
      </c>
      <c r="D129" s="9" t="n">
        <v>9</v>
      </c>
      <c r="E129" s="30" t="n">
        <v>647669</v>
      </c>
      <c r="F129" s="30" t="n">
        <v>18002</v>
      </c>
      <c r="G129" s="35" t="n">
        <v>0.0277950619838219</v>
      </c>
    </row>
    <row r="130" customFormat="false" ht="15" hidden="false" customHeight="false" outlineLevel="0" collapsed="false">
      <c r="A130" s="25" t="s">
        <v>352</v>
      </c>
      <c r="B130" s="25" t="s">
        <v>194</v>
      </c>
      <c r="C130" s="29" t="s">
        <v>223</v>
      </c>
      <c r="D130" s="29" t="n">
        <v>240</v>
      </c>
      <c r="E130" s="31" t="n">
        <v>646800</v>
      </c>
      <c r="F130" s="31" t="n">
        <v>126480</v>
      </c>
      <c r="G130" s="37" t="n">
        <v>0.195547309833024</v>
      </c>
    </row>
    <row r="131" customFormat="false" ht="15" hidden="false" customHeight="false" outlineLevel="0" collapsed="false">
      <c r="A131" s="20" t="s">
        <v>353</v>
      </c>
      <c r="B131" s="20" t="s">
        <v>194</v>
      </c>
      <c r="C131" s="9" t="s">
        <v>197</v>
      </c>
      <c r="D131" s="9" t="n">
        <v>48</v>
      </c>
      <c r="E131" s="30" t="n">
        <v>635664</v>
      </c>
      <c r="F131" s="30" t="n">
        <v>307776</v>
      </c>
      <c r="G131" s="35" t="n">
        <v>0.484180321679378</v>
      </c>
    </row>
    <row r="132" customFormat="false" ht="15" hidden="false" customHeight="false" outlineLevel="0" collapsed="false">
      <c r="A132" s="25" t="s">
        <v>354</v>
      </c>
      <c r="B132" s="25" t="s">
        <v>194</v>
      </c>
      <c r="C132" s="29" t="s">
        <v>355</v>
      </c>
      <c r="D132" s="29" t="n">
        <v>32</v>
      </c>
      <c r="E132" s="31" t="n">
        <v>635392</v>
      </c>
      <c r="F132" s="31" t="n">
        <v>-168032</v>
      </c>
      <c r="G132" s="37" t="n">
        <v>-0.264454069298952</v>
      </c>
    </row>
    <row r="133" customFormat="false" ht="15" hidden="false" customHeight="false" outlineLevel="0" collapsed="false">
      <c r="A133" s="20" t="s">
        <v>356</v>
      </c>
      <c r="B133" s="20" t="s">
        <v>194</v>
      </c>
      <c r="C133" s="9" t="s">
        <v>203</v>
      </c>
      <c r="D133" s="9" t="n">
        <v>11</v>
      </c>
      <c r="E133" s="30" t="n">
        <v>632586</v>
      </c>
      <c r="F133" s="30" t="n">
        <v>53645</v>
      </c>
      <c r="G133" s="35" t="n">
        <v>0.0848026987634882</v>
      </c>
    </row>
    <row r="134" customFormat="false" ht="15" hidden="false" customHeight="false" outlineLevel="0" collapsed="false">
      <c r="A134" s="25" t="s">
        <v>357</v>
      </c>
      <c r="B134" s="25" t="s">
        <v>194</v>
      </c>
      <c r="C134" s="29" t="s">
        <v>203</v>
      </c>
      <c r="D134" s="29" t="n">
        <v>12</v>
      </c>
      <c r="E134" s="31" t="n">
        <v>626184</v>
      </c>
      <c r="F134" s="31" t="n">
        <v>61680</v>
      </c>
      <c r="G134" s="37" t="n">
        <v>0.0985013989498294</v>
      </c>
    </row>
    <row r="135" customFormat="false" ht="15" hidden="false" customHeight="false" outlineLevel="0" collapsed="false">
      <c r="A135" s="20" t="s">
        <v>358</v>
      </c>
      <c r="B135" s="9" t="s">
        <v>359</v>
      </c>
      <c r="C135" s="9" t="s">
        <v>360</v>
      </c>
      <c r="D135" s="9" t="n">
        <v>79</v>
      </c>
      <c r="E135" s="30" t="n">
        <v>624877</v>
      </c>
      <c r="F135" s="30" t="n">
        <v>93732</v>
      </c>
      <c r="G135" s="35" t="n">
        <v>0.150000720141724</v>
      </c>
    </row>
    <row r="136" customFormat="false" ht="15" hidden="false" customHeight="false" outlineLevel="0" collapsed="false">
      <c r="A136" s="25" t="s">
        <v>361</v>
      </c>
      <c r="B136" s="25" t="s">
        <v>194</v>
      </c>
      <c r="C136" s="29" t="s">
        <v>197</v>
      </c>
      <c r="D136" s="29" t="n">
        <v>124</v>
      </c>
      <c r="E136" s="31" t="n">
        <v>623348</v>
      </c>
      <c r="F136" s="31" t="n">
        <v>295616</v>
      </c>
      <c r="G136" s="37" t="n">
        <v>0.474239108812413</v>
      </c>
    </row>
    <row r="137" customFormat="false" ht="15" hidden="false" customHeight="false" outlineLevel="0" collapsed="false">
      <c r="A137" s="20" t="s">
        <v>362</v>
      </c>
      <c r="B137" s="20" t="s">
        <v>194</v>
      </c>
      <c r="C137" s="9" t="s">
        <v>254</v>
      </c>
      <c r="D137" s="9" t="n">
        <v>15</v>
      </c>
      <c r="E137" s="30" t="n">
        <v>623010</v>
      </c>
      <c r="F137" s="30" t="n">
        <v>106740</v>
      </c>
      <c r="G137" s="35" t="n">
        <v>0.171329513169933</v>
      </c>
    </row>
    <row r="138" customFormat="false" ht="15" hidden="false" customHeight="false" outlineLevel="0" collapsed="false">
      <c r="A138" s="25" t="s">
        <v>363</v>
      </c>
      <c r="B138" s="25" t="s">
        <v>194</v>
      </c>
      <c r="C138" s="29" t="s">
        <v>203</v>
      </c>
      <c r="D138" s="29" t="n">
        <v>41</v>
      </c>
      <c r="E138" s="31" t="n">
        <v>619059</v>
      </c>
      <c r="F138" s="31" t="n">
        <v>353256</v>
      </c>
      <c r="G138" s="37" t="n">
        <v>0.57063381680906</v>
      </c>
    </row>
    <row r="139" customFormat="false" ht="15" hidden="false" customHeight="false" outlineLevel="0" collapsed="false">
      <c r="A139" s="20" t="s">
        <v>364</v>
      </c>
      <c r="B139" s="20" t="s">
        <v>194</v>
      </c>
      <c r="C139" s="9" t="s">
        <v>197</v>
      </c>
      <c r="D139" s="9" t="n">
        <v>75</v>
      </c>
      <c r="E139" s="30" t="n">
        <v>617625</v>
      </c>
      <c r="F139" s="30" t="n">
        <v>327900</v>
      </c>
      <c r="G139" s="35" t="n">
        <v>0.53090467516697</v>
      </c>
    </row>
    <row r="140" customFormat="false" ht="15" hidden="false" customHeight="false" outlineLevel="0" collapsed="false">
      <c r="A140" s="25" t="s">
        <v>365</v>
      </c>
      <c r="B140" s="25" t="s">
        <v>194</v>
      </c>
      <c r="C140" s="29" t="s">
        <v>209</v>
      </c>
      <c r="D140" s="29" t="n">
        <v>12</v>
      </c>
      <c r="E140" s="31" t="n">
        <v>617280</v>
      </c>
      <c r="F140" s="31" t="n">
        <v>103692</v>
      </c>
      <c r="G140" s="37" t="n">
        <v>0.167982115085537</v>
      </c>
    </row>
    <row r="141" customFormat="false" ht="15" hidden="false" customHeight="false" outlineLevel="0" collapsed="false">
      <c r="A141" s="20" t="s">
        <v>366</v>
      </c>
      <c r="B141" s="20" t="s">
        <v>200</v>
      </c>
      <c r="C141" s="9" t="s">
        <v>201</v>
      </c>
      <c r="D141" s="9" t="n">
        <v>16</v>
      </c>
      <c r="E141" s="30" t="n">
        <v>614720</v>
      </c>
      <c r="F141" s="30" t="n">
        <v>92736</v>
      </c>
      <c r="G141" s="35" t="n">
        <v>0.150858927641853</v>
      </c>
    </row>
    <row r="142" customFormat="false" ht="15" hidden="false" customHeight="false" outlineLevel="0" collapsed="false">
      <c r="A142" s="25" t="s">
        <v>367</v>
      </c>
      <c r="B142" s="25" t="s">
        <v>240</v>
      </c>
      <c r="C142" s="29" t="s">
        <v>368</v>
      </c>
      <c r="D142" s="29" t="n">
        <v>11</v>
      </c>
      <c r="E142" s="31" t="n">
        <v>608278</v>
      </c>
      <c r="F142" s="31" t="n">
        <v>239668</v>
      </c>
      <c r="G142" s="37" t="n">
        <v>0.39401063329596</v>
      </c>
    </row>
    <row r="143" customFormat="false" ht="15" hidden="false" customHeight="false" outlineLevel="0" collapsed="false">
      <c r="A143" s="20" t="s">
        <v>369</v>
      </c>
      <c r="B143" s="20" t="s">
        <v>194</v>
      </c>
      <c r="C143" s="9" t="s">
        <v>203</v>
      </c>
      <c r="D143" s="9" t="n">
        <v>7</v>
      </c>
      <c r="E143" s="30" t="n">
        <v>606109</v>
      </c>
      <c r="F143" s="30" t="n">
        <v>156772</v>
      </c>
      <c r="G143" s="35" t="n">
        <v>0.258653146546248</v>
      </c>
    </row>
    <row r="144" customFormat="false" ht="15" hidden="false" customHeight="false" outlineLevel="0" collapsed="false">
      <c r="A144" s="25" t="s">
        <v>370</v>
      </c>
      <c r="B144" s="25" t="s">
        <v>194</v>
      </c>
      <c r="C144" s="29" t="s">
        <v>295</v>
      </c>
      <c r="D144" s="29" t="n">
        <v>9</v>
      </c>
      <c r="E144" s="31" t="n">
        <v>600615</v>
      </c>
      <c r="F144" s="31" t="n">
        <v>62766</v>
      </c>
      <c r="G144" s="37" t="n">
        <v>0.104502884543343</v>
      </c>
    </row>
    <row r="145" customFormat="false" ht="15" hidden="false" customHeight="false" outlineLevel="0" collapsed="false">
      <c r="A145" s="20" t="s">
        <v>371</v>
      </c>
      <c r="B145" s="20" t="s">
        <v>194</v>
      </c>
      <c r="C145" s="9" t="s">
        <v>203</v>
      </c>
      <c r="D145" s="9" t="n">
        <v>175</v>
      </c>
      <c r="E145" s="30" t="n">
        <v>599375</v>
      </c>
      <c r="F145" s="30" t="n">
        <v>144200</v>
      </c>
      <c r="G145" s="35" t="n">
        <v>0.240583941605839</v>
      </c>
    </row>
    <row r="146" customFormat="false" ht="15" hidden="false" customHeight="false" outlineLevel="0" collapsed="false">
      <c r="A146" s="25" t="s">
        <v>372</v>
      </c>
      <c r="B146" s="25" t="s">
        <v>194</v>
      </c>
      <c r="C146" s="25" t="s">
        <v>373</v>
      </c>
      <c r="D146" s="29" t="n">
        <v>92</v>
      </c>
      <c r="E146" s="31" t="n">
        <v>583961</v>
      </c>
      <c r="F146" s="31" t="n">
        <v>159013</v>
      </c>
      <c r="G146" s="37" t="n">
        <v>0.27230071871238</v>
      </c>
    </row>
    <row r="147" customFormat="false" ht="15" hidden="false" customHeight="false" outlineLevel="0" collapsed="false">
      <c r="A147" s="20" t="s">
        <v>374</v>
      </c>
      <c r="B147" s="20" t="s">
        <v>200</v>
      </c>
      <c r="C147" s="9" t="s">
        <v>223</v>
      </c>
      <c r="D147" s="9" t="n">
        <v>10</v>
      </c>
      <c r="E147" s="30" t="n">
        <v>576350</v>
      </c>
      <c r="F147" s="30" t="n">
        <v>93390</v>
      </c>
      <c r="G147" s="35" t="n">
        <v>0.162036956710332</v>
      </c>
    </row>
    <row r="148" customFormat="false" ht="15" hidden="false" customHeight="false" outlineLevel="0" collapsed="false">
      <c r="A148" s="25" t="s">
        <v>375</v>
      </c>
      <c r="B148" s="29" t="s">
        <v>253</v>
      </c>
      <c r="C148" s="29" t="s">
        <v>201</v>
      </c>
      <c r="D148" s="29" t="n">
        <v>67</v>
      </c>
      <c r="E148" s="31" t="n">
        <v>575262</v>
      </c>
      <c r="F148" s="31" t="n">
        <v>25125</v>
      </c>
      <c r="G148" s="37" t="n">
        <v>0.043675751222921</v>
      </c>
    </row>
    <row r="149" customFormat="false" ht="15" hidden="false" customHeight="false" outlineLevel="0" collapsed="false">
      <c r="A149" s="20" t="s">
        <v>376</v>
      </c>
      <c r="B149" s="9" t="s">
        <v>281</v>
      </c>
      <c r="C149" s="9" t="s">
        <v>197</v>
      </c>
      <c r="D149" s="9" t="n">
        <v>122</v>
      </c>
      <c r="E149" s="30" t="n">
        <v>575230</v>
      </c>
      <c r="F149" s="30" t="n">
        <v>125660</v>
      </c>
      <c r="G149" s="35" t="n">
        <v>0.218451749734889</v>
      </c>
    </row>
    <row r="150" customFormat="false" ht="15" hidden="false" customHeight="false" outlineLevel="0" collapsed="false">
      <c r="A150" s="25" t="s">
        <v>377</v>
      </c>
      <c r="B150" s="25" t="s">
        <v>194</v>
      </c>
      <c r="C150" s="29" t="s">
        <v>203</v>
      </c>
      <c r="D150" s="29" t="n">
        <v>60</v>
      </c>
      <c r="E150" s="31" t="n">
        <v>571260</v>
      </c>
      <c r="F150" s="31" t="n">
        <v>268500</v>
      </c>
      <c r="G150" s="37" t="n">
        <v>0.470013654027938</v>
      </c>
    </row>
    <row r="151" customFormat="false" ht="15" hidden="false" customHeight="false" outlineLevel="0" collapsed="false">
      <c r="A151" s="20" t="s">
        <v>378</v>
      </c>
      <c r="B151" s="20" t="s">
        <v>194</v>
      </c>
      <c r="C151" s="9" t="s">
        <v>197</v>
      </c>
      <c r="D151" s="9" t="n">
        <v>77</v>
      </c>
      <c r="E151" s="30" t="n">
        <v>570724</v>
      </c>
      <c r="F151" s="30" t="n">
        <v>362901</v>
      </c>
      <c r="G151" s="35" t="n">
        <v>0.635860766324879</v>
      </c>
    </row>
    <row r="152" customFormat="false" ht="15" hidden="false" customHeight="false" outlineLevel="0" collapsed="false">
      <c r="A152" s="25" t="s">
        <v>379</v>
      </c>
      <c r="B152" s="25" t="s">
        <v>194</v>
      </c>
      <c r="C152" s="29" t="s">
        <v>380</v>
      </c>
      <c r="D152" s="29" t="n">
        <v>7</v>
      </c>
      <c r="E152" s="31" t="n">
        <v>570717</v>
      </c>
      <c r="F152" s="31" t="n">
        <v>18172</v>
      </c>
      <c r="G152" s="37" t="n">
        <v>0.0318406495688756</v>
      </c>
    </row>
    <row r="153" customFormat="false" ht="15" hidden="false" customHeight="false" outlineLevel="0" collapsed="false">
      <c r="A153" s="20" t="s">
        <v>381</v>
      </c>
      <c r="B153" s="20" t="s">
        <v>194</v>
      </c>
      <c r="C153" s="9" t="s">
        <v>217</v>
      </c>
      <c r="D153" s="9" t="n">
        <v>7</v>
      </c>
      <c r="E153" s="30" t="n">
        <v>569982</v>
      </c>
      <c r="F153" s="30" t="n">
        <v>193795</v>
      </c>
      <c r="G153" s="35" t="n">
        <v>0.340001964974333</v>
      </c>
    </row>
    <row r="154" customFormat="false" ht="15" hidden="false" customHeight="false" outlineLevel="0" collapsed="false">
      <c r="A154" s="25" t="s">
        <v>382</v>
      </c>
      <c r="B154" s="25" t="s">
        <v>194</v>
      </c>
      <c r="C154" s="29" t="s">
        <v>217</v>
      </c>
      <c r="D154" s="29" t="n">
        <v>110</v>
      </c>
      <c r="E154" s="31" t="n">
        <v>569580</v>
      </c>
      <c r="F154" s="31" t="n">
        <v>144100</v>
      </c>
      <c r="G154" s="37" t="n">
        <v>0.252993433758208</v>
      </c>
    </row>
    <row r="155" customFormat="false" ht="15" hidden="false" customHeight="false" outlineLevel="0" collapsed="false">
      <c r="A155" s="20" t="s">
        <v>383</v>
      </c>
      <c r="B155" s="20" t="s">
        <v>194</v>
      </c>
      <c r="C155" s="9" t="s">
        <v>203</v>
      </c>
      <c r="D155" s="9" t="n">
        <v>13</v>
      </c>
      <c r="E155" s="30" t="n">
        <v>564174</v>
      </c>
      <c r="F155" s="30" t="n">
        <v>119561</v>
      </c>
      <c r="G155" s="35" t="n">
        <v>0.2119222083967</v>
      </c>
    </row>
    <row r="156" customFormat="false" ht="15" hidden="false" customHeight="false" outlineLevel="0" collapsed="false">
      <c r="A156" s="25" t="s">
        <v>384</v>
      </c>
      <c r="B156" s="25" t="s">
        <v>194</v>
      </c>
      <c r="C156" s="29" t="s">
        <v>195</v>
      </c>
      <c r="D156" s="29" t="n">
        <v>7</v>
      </c>
      <c r="E156" s="31" t="n">
        <v>564125</v>
      </c>
      <c r="F156" s="31" t="n">
        <v>94089</v>
      </c>
      <c r="G156" s="37" t="n">
        <v>0.166787502769776</v>
      </c>
    </row>
    <row r="157" customFormat="false" ht="15" hidden="false" customHeight="false" outlineLevel="0" collapsed="false">
      <c r="A157" s="20" t="s">
        <v>385</v>
      </c>
      <c r="B157" s="20" t="s">
        <v>194</v>
      </c>
      <c r="C157" s="9" t="s">
        <v>386</v>
      </c>
      <c r="D157" s="9" t="n">
        <v>54</v>
      </c>
      <c r="E157" s="30" t="n">
        <v>560736</v>
      </c>
      <c r="F157" s="30" t="n">
        <v>72630</v>
      </c>
      <c r="G157" s="35" t="n">
        <v>0.129526194144838</v>
      </c>
    </row>
    <row r="158" customFormat="false" ht="15" hidden="false" customHeight="false" outlineLevel="0" collapsed="false">
      <c r="A158" s="25" t="s">
        <v>387</v>
      </c>
      <c r="B158" s="25" t="s">
        <v>194</v>
      </c>
      <c r="C158" s="29" t="s">
        <v>195</v>
      </c>
      <c r="D158" s="29" t="n">
        <v>8</v>
      </c>
      <c r="E158" s="31" t="n">
        <v>559370</v>
      </c>
      <c r="F158" s="31" t="n">
        <v>13698</v>
      </c>
      <c r="G158" s="37" t="n">
        <v>0.0244882635822443</v>
      </c>
    </row>
    <row r="159" customFormat="false" ht="15" hidden="false" customHeight="false" outlineLevel="0" collapsed="false">
      <c r="A159" s="20" t="s">
        <v>388</v>
      </c>
      <c r="B159" s="20" t="s">
        <v>389</v>
      </c>
      <c r="C159" s="9" t="s">
        <v>334</v>
      </c>
      <c r="D159" s="9" t="n">
        <v>32</v>
      </c>
      <c r="E159" s="30" t="n">
        <v>559200</v>
      </c>
      <c r="F159" s="30" t="n">
        <v>83880</v>
      </c>
      <c r="G159" s="35" t="n">
        <v>0.15</v>
      </c>
    </row>
    <row r="160" customFormat="false" ht="15" hidden="false" customHeight="false" outlineLevel="0" collapsed="false">
      <c r="A160" s="25" t="s">
        <v>390</v>
      </c>
      <c r="B160" s="25" t="s">
        <v>200</v>
      </c>
      <c r="C160" s="29" t="s">
        <v>391</v>
      </c>
      <c r="D160" s="29" t="n">
        <v>1</v>
      </c>
      <c r="E160" s="31" t="n">
        <v>558824</v>
      </c>
      <c r="F160" s="31" t="n">
        <v>83824</v>
      </c>
      <c r="G160" s="37" t="n">
        <v>0.150000715788871</v>
      </c>
    </row>
    <row r="161" customFormat="false" ht="15" hidden="false" customHeight="false" outlineLevel="0" collapsed="false">
      <c r="A161" s="20" t="s">
        <v>392</v>
      </c>
      <c r="B161" s="20" t="s">
        <v>194</v>
      </c>
      <c r="C161" s="9" t="s">
        <v>197</v>
      </c>
      <c r="D161" s="9" t="n">
        <v>94</v>
      </c>
      <c r="E161" s="30" t="n">
        <v>557608</v>
      </c>
      <c r="F161" s="30" t="n">
        <v>86480</v>
      </c>
      <c r="G161" s="35" t="n">
        <v>0.155091031692515</v>
      </c>
    </row>
    <row r="162" customFormat="false" ht="15" hidden="false" customHeight="false" outlineLevel="0" collapsed="false">
      <c r="A162" s="25" t="s">
        <v>393</v>
      </c>
      <c r="B162" s="29" t="s">
        <v>253</v>
      </c>
      <c r="C162" s="29" t="s">
        <v>201</v>
      </c>
      <c r="D162" s="29" t="n">
        <v>69</v>
      </c>
      <c r="E162" s="31" t="n">
        <v>553380</v>
      </c>
      <c r="F162" s="31" t="n">
        <v>52647</v>
      </c>
      <c r="G162" s="37" t="n">
        <v>0.0951371571072319</v>
      </c>
    </row>
    <row r="163" customFormat="false" ht="15" hidden="false" customHeight="false" outlineLevel="0" collapsed="false">
      <c r="A163" s="20" t="s">
        <v>394</v>
      </c>
      <c r="B163" s="20" t="s">
        <v>200</v>
      </c>
      <c r="C163" s="9" t="s">
        <v>223</v>
      </c>
      <c r="D163" s="9" t="n">
        <v>88</v>
      </c>
      <c r="E163" s="30" t="n">
        <v>544544</v>
      </c>
      <c r="F163" s="30" t="n">
        <v>-13816</v>
      </c>
      <c r="G163" s="35" t="n">
        <v>-0.025371687136393</v>
      </c>
    </row>
    <row r="164" customFormat="false" ht="15" hidden="false" customHeight="false" outlineLevel="0" collapsed="false">
      <c r="A164" s="25" t="s">
        <v>395</v>
      </c>
      <c r="B164" s="25" t="s">
        <v>194</v>
      </c>
      <c r="C164" s="29" t="s">
        <v>203</v>
      </c>
      <c r="D164" s="29" t="n">
        <v>7</v>
      </c>
      <c r="E164" s="31" t="n">
        <v>541079</v>
      </c>
      <c r="F164" s="31" t="n">
        <v>110264</v>
      </c>
      <c r="G164" s="37" t="n">
        <v>0.203785399174612</v>
      </c>
    </row>
    <row r="165" customFormat="false" ht="15" hidden="false" customHeight="false" outlineLevel="0" collapsed="false">
      <c r="A165" s="20" t="s">
        <v>396</v>
      </c>
      <c r="B165" s="20" t="s">
        <v>233</v>
      </c>
      <c r="C165" s="9" t="s">
        <v>223</v>
      </c>
      <c r="D165" s="9" t="n">
        <v>51</v>
      </c>
      <c r="E165" s="30" t="n">
        <v>541008</v>
      </c>
      <c r="F165" s="30" t="n">
        <v>48246</v>
      </c>
      <c r="G165" s="35" t="n">
        <v>0.0891779788838612</v>
      </c>
    </row>
    <row r="166" customFormat="false" ht="15" hidden="false" customHeight="false" outlineLevel="0" collapsed="false">
      <c r="A166" s="25" t="s">
        <v>397</v>
      </c>
      <c r="B166" s="25" t="s">
        <v>200</v>
      </c>
      <c r="C166" s="29" t="s">
        <v>201</v>
      </c>
      <c r="D166" s="29" t="n">
        <v>31</v>
      </c>
      <c r="E166" s="31" t="n">
        <v>539735</v>
      </c>
      <c r="F166" s="31" t="n">
        <v>182522</v>
      </c>
      <c r="G166" s="37" t="n">
        <v>0.338169657331839</v>
      </c>
    </row>
    <row r="167" customFormat="false" ht="15" hidden="false" customHeight="false" outlineLevel="0" collapsed="false">
      <c r="A167" s="20" t="s">
        <v>398</v>
      </c>
      <c r="B167" s="20" t="s">
        <v>194</v>
      </c>
      <c r="C167" s="9" t="s">
        <v>368</v>
      </c>
      <c r="D167" s="9" t="n">
        <v>9</v>
      </c>
      <c r="E167" s="30" t="n">
        <v>528057</v>
      </c>
      <c r="F167" s="30" t="n">
        <v>76500</v>
      </c>
      <c r="G167" s="35" t="n">
        <v>0.144870724183185</v>
      </c>
    </row>
    <row r="168" customFormat="false" ht="15" hidden="false" customHeight="false" outlineLevel="0" collapsed="false">
      <c r="A168" s="25" t="s">
        <v>399</v>
      </c>
      <c r="B168" s="25" t="s">
        <v>194</v>
      </c>
      <c r="C168" s="29" t="s">
        <v>203</v>
      </c>
      <c r="D168" s="29" t="n">
        <v>69</v>
      </c>
      <c r="E168" s="31" t="n">
        <v>526212</v>
      </c>
      <c r="F168" s="31" t="n">
        <v>-29031</v>
      </c>
      <c r="G168" s="37" t="n">
        <v>-0.0551697794805135</v>
      </c>
    </row>
    <row r="169" customFormat="false" ht="15" hidden="false" customHeight="false" outlineLevel="0" collapsed="false">
      <c r="A169" s="20" t="s">
        <v>400</v>
      </c>
      <c r="B169" s="20" t="s">
        <v>194</v>
      </c>
      <c r="C169" s="9" t="s">
        <v>231</v>
      </c>
      <c r="D169" s="9" t="n">
        <v>6</v>
      </c>
      <c r="E169" s="30" t="n">
        <v>524352</v>
      </c>
      <c r="F169" s="30" t="n">
        <v>10752</v>
      </c>
      <c r="G169" s="35" t="n">
        <v>0.0205053094104723</v>
      </c>
    </row>
    <row r="170" customFormat="false" ht="15" hidden="false" customHeight="false" outlineLevel="0" collapsed="false">
      <c r="A170" s="25" t="s">
        <v>401</v>
      </c>
      <c r="B170" s="25" t="s">
        <v>194</v>
      </c>
      <c r="C170" s="29" t="s">
        <v>206</v>
      </c>
      <c r="D170" s="29" t="n">
        <v>70</v>
      </c>
      <c r="E170" s="31" t="n">
        <v>522130</v>
      </c>
      <c r="F170" s="31" t="n">
        <v>14910</v>
      </c>
      <c r="G170" s="37" t="n">
        <v>0.028556106716718</v>
      </c>
    </row>
    <row r="171" customFormat="false" ht="15" hidden="false" customHeight="false" outlineLevel="0" collapsed="false">
      <c r="A171" s="20" t="s">
        <v>402</v>
      </c>
      <c r="B171" s="9" t="s">
        <v>403</v>
      </c>
      <c r="C171" s="9" t="s">
        <v>223</v>
      </c>
      <c r="D171" s="9" t="n">
        <v>7</v>
      </c>
      <c r="E171" s="30" t="n">
        <v>519302</v>
      </c>
      <c r="F171" s="30" t="n">
        <v>90601</v>
      </c>
      <c r="G171" s="35" t="n">
        <v>0.174466880543499</v>
      </c>
    </row>
    <row r="172" customFormat="false" ht="15" hidden="false" customHeight="false" outlineLevel="0" collapsed="false">
      <c r="A172" s="25" t="s">
        <v>404</v>
      </c>
      <c r="B172" s="29" t="s">
        <v>281</v>
      </c>
      <c r="C172" s="29" t="s">
        <v>197</v>
      </c>
      <c r="D172" s="29" t="n">
        <v>313</v>
      </c>
      <c r="E172" s="31" t="n">
        <v>518015</v>
      </c>
      <c r="F172" s="31" t="n">
        <v>160256</v>
      </c>
      <c r="G172" s="37" t="n">
        <v>0.309365558912387</v>
      </c>
    </row>
    <row r="173" customFormat="false" ht="15" hidden="false" customHeight="false" outlineLevel="0" collapsed="false">
      <c r="A173" s="20" t="s">
        <v>405</v>
      </c>
      <c r="B173" s="9" t="s">
        <v>216</v>
      </c>
      <c r="C173" s="9" t="s">
        <v>203</v>
      </c>
      <c r="D173" s="9" t="n">
        <v>12</v>
      </c>
      <c r="E173" s="30" t="n">
        <v>507777</v>
      </c>
      <c r="F173" s="30" t="n">
        <v>76165</v>
      </c>
      <c r="G173" s="35" t="n">
        <v>0.149996947478913</v>
      </c>
    </row>
    <row r="174" customFormat="false" ht="15" hidden="false" customHeight="false" outlineLevel="0" collapsed="false">
      <c r="A174" s="25" t="s">
        <v>406</v>
      </c>
      <c r="B174" s="25" t="s">
        <v>407</v>
      </c>
      <c r="C174" s="29" t="s">
        <v>274</v>
      </c>
      <c r="D174" s="29" t="n">
        <v>180</v>
      </c>
      <c r="E174" s="31" t="n">
        <v>506520</v>
      </c>
      <c r="F174" s="31" t="n">
        <v>74520</v>
      </c>
      <c r="G174" s="37" t="n">
        <v>0.147121535181237</v>
      </c>
    </row>
    <row r="175" customFormat="false" ht="15" hidden="false" customHeight="false" outlineLevel="0" collapsed="false">
      <c r="A175" s="20" t="s">
        <v>408</v>
      </c>
      <c r="B175" s="20" t="s">
        <v>194</v>
      </c>
      <c r="C175" s="9" t="s">
        <v>195</v>
      </c>
      <c r="D175" s="9" t="n">
        <v>45</v>
      </c>
      <c r="E175" s="30" t="n">
        <v>496704</v>
      </c>
      <c r="F175" s="30" t="n">
        <v>200604</v>
      </c>
      <c r="G175" s="35" t="n">
        <v>0.403870313103981</v>
      </c>
    </row>
    <row r="176" customFormat="false" ht="15" hidden="false" customHeight="false" outlineLevel="0" collapsed="false">
      <c r="A176" s="25" t="s">
        <v>409</v>
      </c>
      <c r="B176" s="25" t="s">
        <v>194</v>
      </c>
      <c r="C176" s="29" t="s">
        <v>203</v>
      </c>
      <c r="D176" s="29" t="n">
        <v>18</v>
      </c>
      <c r="E176" s="31" t="n">
        <v>493830</v>
      </c>
      <c r="F176" s="31" t="n">
        <v>74070</v>
      </c>
      <c r="G176" s="37" t="n">
        <v>0.149990887552397</v>
      </c>
    </row>
    <row r="177" customFormat="false" ht="15" hidden="false" customHeight="false" outlineLevel="0" collapsed="false">
      <c r="A177" s="20" t="s">
        <v>410</v>
      </c>
      <c r="B177" s="20" t="s">
        <v>240</v>
      </c>
      <c r="C177" s="9" t="s">
        <v>368</v>
      </c>
      <c r="D177" s="9" t="n">
        <v>20</v>
      </c>
      <c r="E177" s="30" t="n">
        <v>491620</v>
      </c>
      <c r="F177" s="30" t="n">
        <v>134420</v>
      </c>
      <c r="G177" s="35" t="n">
        <v>0.273422562141491</v>
      </c>
    </row>
    <row r="178" customFormat="false" ht="15" hidden="false" customHeight="false" outlineLevel="0" collapsed="false">
      <c r="A178" s="25" t="s">
        <v>411</v>
      </c>
      <c r="B178" s="25" t="s">
        <v>194</v>
      </c>
      <c r="C178" s="29" t="s">
        <v>412</v>
      </c>
      <c r="D178" s="29" t="n">
        <v>30</v>
      </c>
      <c r="E178" s="31" t="n">
        <v>488400</v>
      </c>
      <c r="F178" s="31" t="n">
        <v>82110</v>
      </c>
      <c r="G178" s="37" t="n">
        <v>0.168120393120393</v>
      </c>
    </row>
    <row r="179" customFormat="false" ht="15" hidden="false" customHeight="false" outlineLevel="0" collapsed="false">
      <c r="A179" s="20" t="s">
        <v>413</v>
      </c>
      <c r="B179" s="20" t="s">
        <v>194</v>
      </c>
      <c r="C179" s="9" t="s">
        <v>217</v>
      </c>
      <c r="D179" s="9" t="n">
        <v>87</v>
      </c>
      <c r="E179" s="30" t="n">
        <v>488244</v>
      </c>
      <c r="F179" s="30" t="n">
        <v>141984</v>
      </c>
      <c r="G179" s="35" t="n">
        <v>0.290805416963649</v>
      </c>
    </row>
    <row r="180" customFormat="false" ht="15" hidden="false" customHeight="false" outlineLevel="0" collapsed="false">
      <c r="A180" s="25" t="s">
        <v>414</v>
      </c>
      <c r="B180" s="25" t="s">
        <v>194</v>
      </c>
      <c r="C180" s="29" t="s">
        <v>203</v>
      </c>
      <c r="D180" s="29" t="n">
        <v>40</v>
      </c>
      <c r="E180" s="31" t="n">
        <v>486560</v>
      </c>
      <c r="F180" s="31" t="n">
        <v>135400</v>
      </c>
      <c r="G180" s="37" t="n">
        <v>0.278280170996383</v>
      </c>
    </row>
    <row r="181" customFormat="false" ht="15" hidden="false" customHeight="false" outlineLevel="0" collapsed="false">
      <c r="A181" s="20" t="s">
        <v>415</v>
      </c>
      <c r="B181" s="20" t="s">
        <v>194</v>
      </c>
      <c r="C181" s="9" t="s">
        <v>203</v>
      </c>
      <c r="D181" s="9" t="n">
        <v>9</v>
      </c>
      <c r="E181" s="30" t="n">
        <v>486378</v>
      </c>
      <c r="F181" s="30" t="n">
        <v>98064</v>
      </c>
      <c r="G181" s="35" t="n">
        <v>0.201620961474409</v>
      </c>
    </row>
    <row r="182" customFormat="false" ht="15" hidden="false" customHeight="false" outlineLevel="0" collapsed="false">
      <c r="A182" s="25" t="s">
        <v>416</v>
      </c>
      <c r="B182" s="25" t="s">
        <v>220</v>
      </c>
      <c r="C182" s="29" t="s">
        <v>217</v>
      </c>
      <c r="D182" s="29" t="n">
        <v>8</v>
      </c>
      <c r="E182" s="31" t="n">
        <v>485728</v>
      </c>
      <c r="F182" s="31" t="n">
        <v>277744</v>
      </c>
      <c r="G182" s="37" t="n">
        <v>0.571809737136834</v>
      </c>
    </row>
    <row r="183" customFormat="false" ht="15" hidden="false" customHeight="false" outlineLevel="0" collapsed="false">
      <c r="A183" s="20" t="s">
        <v>417</v>
      </c>
      <c r="B183" s="20" t="s">
        <v>240</v>
      </c>
      <c r="C183" s="9" t="s">
        <v>223</v>
      </c>
      <c r="D183" s="9" t="n">
        <v>37</v>
      </c>
      <c r="E183" s="30" t="n">
        <v>481037</v>
      </c>
      <c r="F183" s="30" t="n">
        <v>81844</v>
      </c>
      <c r="G183" s="35" t="n">
        <v>0.1701407584032</v>
      </c>
    </row>
    <row r="184" customFormat="false" ht="15" hidden="false" customHeight="false" outlineLevel="0" collapsed="false">
      <c r="A184" s="25" t="s">
        <v>418</v>
      </c>
      <c r="B184" s="25" t="s">
        <v>194</v>
      </c>
      <c r="C184" s="29" t="s">
        <v>203</v>
      </c>
      <c r="D184" s="29" t="n">
        <v>6</v>
      </c>
      <c r="E184" s="31" t="n">
        <v>476694</v>
      </c>
      <c r="F184" s="31" t="n">
        <v>78306</v>
      </c>
      <c r="G184" s="37" t="n">
        <v>0.164268902062959</v>
      </c>
    </row>
    <row r="185" customFormat="false" ht="15" hidden="false" customHeight="false" outlineLevel="0" collapsed="false">
      <c r="A185" s="20" t="s">
        <v>419</v>
      </c>
      <c r="B185" s="20" t="s">
        <v>194</v>
      </c>
      <c r="C185" s="9" t="s">
        <v>203</v>
      </c>
      <c r="D185" s="9" t="n">
        <v>146</v>
      </c>
      <c r="E185" s="30" t="n">
        <v>468368</v>
      </c>
      <c r="F185" s="30" t="n">
        <v>62780</v>
      </c>
      <c r="G185" s="35" t="n">
        <v>0.134039900249377</v>
      </c>
    </row>
    <row r="186" customFormat="false" ht="15" hidden="false" customHeight="false" outlineLevel="0" collapsed="false">
      <c r="A186" s="25" t="s">
        <v>420</v>
      </c>
      <c r="B186" s="25" t="s">
        <v>194</v>
      </c>
      <c r="C186" s="29" t="s">
        <v>386</v>
      </c>
      <c r="D186" s="29" t="n">
        <v>34</v>
      </c>
      <c r="E186" s="31" t="n">
        <v>462604</v>
      </c>
      <c r="F186" s="31" t="n">
        <v>139162</v>
      </c>
      <c r="G186" s="37" t="n">
        <v>0.300823166250184</v>
      </c>
    </row>
    <row r="187" customFormat="false" ht="15" hidden="false" customHeight="false" outlineLevel="0" collapsed="false">
      <c r="A187" s="20" t="s">
        <v>421</v>
      </c>
      <c r="B187" s="9" t="s">
        <v>281</v>
      </c>
      <c r="C187" s="9" t="s">
        <v>197</v>
      </c>
      <c r="D187" s="9" t="n">
        <v>226</v>
      </c>
      <c r="E187" s="30" t="n">
        <v>459684</v>
      </c>
      <c r="F187" s="30" t="n">
        <v>132436</v>
      </c>
      <c r="G187" s="35" t="n">
        <v>0.288102261553589</v>
      </c>
    </row>
    <row r="188" customFormat="false" ht="15" hidden="false" customHeight="false" outlineLevel="0" collapsed="false">
      <c r="A188" s="25" t="s">
        <v>422</v>
      </c>
      <c r="B188" s="25" t="s">
        <v>194</v>
      </c>
      <c r="C188" s="29" t="s">
        <v>368</v>
      </c>
      <c r="D188" s="29" t="n">
        <v>9</v>
      </c>
      <c r="E188" s="31" t="n">
        <v>457785</v>
      </c>
      <c r="F188" s="31" t="n">
        <v>109998</v>
      </c>
      <c r="G188" s="37" t="n">
        <v>0.240283102329696</v>
      </c>
    </row>
    <row r="189" customFormat="false" ht="15" hidden="false" customHeight="false" outlineLevel="0" collapsed="false">
      <c r="A189" s="20" t="s">
        <v>423</v>
      </c>
      <c r="B189" s="20" t="s">
        <v>194</v>
      </c>
      <c r="C189" s="9" t="s">
        <v>209</v>
      </c>
      <c r="D189" s="9" t="n">
        <v>32</v>
      </c>
      <c r="E189" s="30" t="n">
        <v>455808</v>
      </c>
      <c r="F189" s="30" t="n">
        <v>1984</v>
      </c>
      <c r="G189" s="35" t="n">
        <v>0.0043527099129458</v>
      </c>
    </row>
    <row r="190" customFormat="false" ht="15" hidden="false" customHeight="false" outlineLevel="0" collapsed="false">
      <c r="A190" s="25" t="s">
        <v>424</v>
      </c>
      <c r="B190" s="29" t="s">
        <v>253</v>
      </c>
      <c r="C190" s="29" t="s">
        <v>223</v>
      </c>
      <c r="D190" s="29" t="n">
        <v>34</v>
      </c>
      <c r="E190" s="31" t="n">
        <v>454614</v>
      </c>
      <c r="F190" s="31" t="n">
        <v>51884</v>
      </c>
      <c r="G190" s="37" t="n">
        <v>0.114127589559494</v>
      </c>
    </row>
    <row r="191" customFormat="false" ht="15" hidden="false" customHeight="false" outlineLevel="0" collapsed="false">
      <c r="A191" s="20" t="s">
        <v>425</v>
      </c>
      <c r="B191" s="20" t="s">
        <v>194</v>
      </c>
      <c r="C191" s="9" t="s">
        <v>229</v>
      </c>
      <c r="D191" s="9" t="n">
        <v>434</v>
      </c>
      <c r="E191" s="30" t="n">
        <v>451360</v>
      </c>
      <c r="F191" s="30" t="n">
        <v>29078</v>
      </c>
      <c r="G191" s="35" t="n">
        <v>0.0644230769230769</v>
      </c>
    </row>
    <row r="192" customFormat="false" ht="15" hidden="false" customHeight="false" outlineLevel="0" collapsed="false">
      <c r="A192" s="25" t="s">
        <v>426</v>
      </c>
      <c r="B192" s="25" t="s">
        <v>194</v>
      </c>
      <c r="C192" s="29" t="s">
        <v>197</v>
      </c>
      <c r="D192" s="29" t="n">
        <v>70</v>
      </c>
      <c r="E192" s="31" t="n">
        <v>447580</v>
      </c>
      <c r="F192" s="31" t="n">
        <v>18550</v>
      </c>
      <c r="G192" s="37" t="n">
        <v>0.0414451047857366</v>
      </c>
    </row>
    <row r="193" customFormat="false" ht="15" hidden="false" customHeight="false" outlineLevel="0" collapsed="false">
      <c r="A193" s="20" t="s">
        <v>427</v>
      </c>
      <c r="B193" s="9" t="s">
        <v>216</v>
      </c>
      <c r="C193" s="9" t="s">
        <v>428</v>
      </c>
      <c r="D193" s="9" t="n">
        <v>2</v>
      </c>
      <c r="E193" s="30" t="n">
        <v>440556</v>
      </c>
      <c r="F193" s="30" t="n">
        <v>66083</v>
      </c>
      <c r="G193" s="35" t="n">
        <v>0.149999092056401</v>
      </c>
    </row>
    <row r="194" customFormat="false" ht="15" hidden="false" customHeight="false" outlineLevel="0" collapsed="false">
      <c r="A194" s="25" t="s">
        <v>429</v>
      </c>
      <c r="B194" s="25" t="s">
        <v>200</v>
      </c>
      <c r="C194" s="29" t="s">
        <v>430</v>
      </c>
      <c r="D194" s="29" t="n">
        <v>8</v>
      </c>
      <c r="E194" s="31" t="n">
        <v>440032</v>
      </c>
      <c r="F194" s="31" t="n">
        <v>25200</v>
      </c>
      <c r="G194" s="37" t="n">
        <v>0.0572685622863791</v>
      </c>
    </row>
    <row r="195" customFormat="false" ht="15" hidden="false" customHeight="false" outlineLevel="0" collapsed="false">
      <c r="A195" s="20" t="s">
        <v>431</v>
      </c>
      <c r="B195" s="20" t="s">
        <v>194</v>
      </c>
      <c r="C195" s="9" t="s">
        <v>231</v>
      </c>
      <c r="D195" s="9" t="n">
        <v>95</v>
      </c>
      <c r="E195" s="30" t="n">
        <v>439695</v>
      </c>
      <c r="F195" s="30" t="n">
        <v>225565</v>
      </c>
      <c r="G195" s="35" t="n">
        <v>0.513003331855036</v>
      </c>
    </row>
    <row r="196" customFormat="false" ht="15" hidden="false" customHeight="false" outlineLevel="0" collapsed="false">
      <c r="A196" s="25" t="s">
        <v>432</v>
      </c>
      <c r="B196" s="29" t="s">
        <v>216</v>
      </c>
      <c r="C196" s="29" t="s">
        <v>297</v>
      </c>
      <c r="D196" s="29" t="n">
        <v>25</v>
      </c>
      <c r="E196" s="31" t="n">
        <v>438975</v>
      </c>
      <c r="F196" s="31" t="n">
        <v>116200</v>
      </c>
      <c r="G196" s="37" t="n">
        <v>0.264707557377983</v>
      </c>
    </row>
    <row r="197" customFormat="false" ht="15" hidden="false" customHeight="false" outlineLevel="0" collapsed="false">
      <c r="A197" s="20" t="s">
        <v>433</v>
      </c>
      <c r="B197" s="9" t="s">
        <v>281</v>
      </c>
      <c r="C197" s="9" t="s">
        <v>197</v>
      </c>
      <c r="D197" s="9" t="n">
        <v>292</v>
      </c>
      <c r="E197" s="30" t="n">
        <v>437416</v>
      </c>
      <c r="F197" s="30" t="n">
        <v>113296</v>
      </c>
      <c r="G197" s="35" t="n">
        <v>0.259012016021362</v>
      </c>
    </row>
    <row r="198" customFormat="false" ht="15" hidden="false" customHeight="false" outlineLevel="0" collapsed="false">
      <c r="A198" s="25" t="s">
        <v>434</v>
      </c>
      <c r="B198" s="25" t="s">
        <v>220</v>
      </c>
      <c r="C198" s="29" t="s">
        <v>217</v>
      </c>
      <c r="D198" s="29" t="n">
        <v>13</v>
      </c>
      <c r="E198" s="31" t="n">
        <v>437398</v>
      </c>
      <c r="F198" s="31" t="n">
        <v>107692</v>
      </c>
      <c r="G198" s="37" t="n">
        <v>0.246210545087083</v>
      </c>
    </row>
    <row r="199" customFormat="false" ht="15" hidden="false" customHeight="false" outlineLevel="0" collapsed="false">
      <c r="A199" s="20" t="s">
        <v>435</v>
      </c>
      <c r="B199" s="20" t="s">
        <v>194</v>
      </c>
      <c r="C199" s="9" t="s">
        <v>231</v>
      </c>
      <c r="D199" s="9" t="n">
        <v>5</v>
      </c>
      <c r="E199" s="30" t="n">
        <v>436455</v>
      </c>
      <c r="F199" s="30" t="n">
        <v>64035</v>
      </c>
      <c r="G199" s="35" t="n">
        <v>0.146716156304774</v>
      </c>
    </row>
    <row r="200" customFormat="false" ht="15" hidden="false" customHeight="false" outlineLevel="0" collapsed="false">
      <c r="A200" s="25" t="s">
        <v>436</v>
      </c>
      <c r="B200" s="25" t="s">
        <v>194</v>
      </c>
      <c r="C200" s="29" t="s">
        <v>203</v>
      </c>
      <c r="D200" s="29" t="n">
        <v>20</v>
      </c>
      <c r="E200" s="31" t="n">
        <v>433980</v>
      </c>
      <c r="F200" s="31" t="n">
        <v>99700</v>
      </c>
      <c r="G200" s="37" t="n">
        <v>0.229734089128531</v>
      </c>
    </row>
    <row r="201" customFormat="false" ht="15" hidden="false" customHeight="false" outlineLevel="0" collapsed="false">
      <c r="A201" s="20" t="s">
        <v>437</v>
      </c>
      <c r="B201" s="20" t="s">
        <v>194</v>
      </c>
      <c r="C201" s="9" t="s">
        <v>355</v>
      </c>
      <c r="D201" s="9" t="n">
        <v>16</v>
      </c>
      <c r="E201" s="30" t="n">
        <v>425680</v>
      </c>
      <c r="F201" s="30" t="n">
        <v>-22848</v>
      </c>
      <c r="G201" s="35" t="n">
        <v>-0.0536741214057508</v>
      </c>
    </row>
    <row r="202" customFormat="false" ht="15" hidden="false" customHeight="false" outlineLevel="0" collapsed="false">
      <c r="A202" s="25" t="s">
        <v>438</v>
      </c>
      <c r="B202" s="25" t="s">
        <v>194</v>
      </c>
      <c r="C202" s="29" t="s">
        <v>439</v>
      </c>
      <c r="D202" s="29" t="n">
        <v>3</v>
      </c>
      <c r="E202" s="31" t="n">
        <v>424644</v>
      </c>
      <c r="F202" s="31" t="n">
        <v>132258</v>
      </c>
      <c r="G202" s="37" t="n">
        <v>0.311456184474525</v>
      </c>
    </row>
    <row r="203" customFormat="false" ht="15" hidden="false" customHeight="false" outlineLevel="0" collapsed="false">
      <c r="A203" s="20" t="s">
        <v>440</v>
      </c>
      <c r="B203" s="20" t="s">
        <v>194</v>
      </c>
      <c r="C203" s="9" t="s">
        <v>195</v>
      </c>
      <c r="D203" s="9" t="n">
        <v>265</v>
      </c>
      <c r="E203" s="30" t="n">
        <v>422859</v>
      </c>
      <c r="F203" s="30" t="n">
        <v>165544</v>
      </c>
      <c r="G203" s="35" t="n">
        <v>0.391487469818545</v>
      </c>
    </row>
    <row r="204" customFormat="false" ht="15" hidden="false" customHeight="false" outlineLevel="0" collapsed="false">
      <c r="A204" s="25" t="s">
        <v>441</v>
      </c>
      <c r="B204" s="25" t="s">
        <v>194</v>
      </c>
      <c r="C204" s="29" t="s">
        <v>203</v>
      </c>
      <c r="D204" s="29" t="n">
        <v>106</v>
      </c>
      <c r="E204" s="31" t="n">
        <v>417216</v>
      </c>
      <c r="F204" s="31" t="n">
        <v>110028</v>
      </c>
      <c r="G204" s="37" t="n">
        <v>0.263719512195122</v>
      </c>
    </row>
    <row r="205" customFormat="false" ht="15" hidden="false" customHeight="false" outlineLevel="0" collapsed="false">
      <c r="A205" s="20" t="s">
        <v>442</v>
      </c>
      <c r="B205" s="20" t="s">
        <v>194</v>
      </c>
      <c r="C205" s="9" t="s">
        <v>197</v>
      </c>
      <c r="D205" s="9" t="n">
        <v>69</v>
      </c>
      <c r="E205" s="30" t="n">
        <v>416208</v>
      </c>
      <c r="F205" s="30" t="n">
        <v>132618</v>
      </c>
      <c r="G205" s="35" t="n">
        <v>0.318633952254642</v>
      </c>
    </row>
    <row r="206" customFormat="false" ht="15" hidden="false" customHeight="false" outlineLevel="0" collapsed="false">
      <c r="A206" s="25" t="s">
        <v>443</v>
      </c>
      <c r="B206" s="25" t="s">
        <v>222</v>
      </c>
      <c r="C206" s="29" t="s">
        <v>223</v>
      </c>
      <c r="D206" s="29" t="n">
        <v>40</v>
      </c>
      <c r="E206" s="31" t="n">
        <v>411680</v>
      </c>
      <c r="F206" s="31" t="n">
        <v>19880</v>
      </c>
      <c r="G206" s="37" t="n">
        <v>0.0482899339292654</v>
      </c>
    </row>
    <row r="207" customFormat="false" ht="15" hidden="false" customHeight="false" outlineLevel="0" collapsed="false">
      <c r="A207" s="20" t="s">
        <v>444</v>
      </c>
      <c r="B207" s="9" t="s">
        <v>253</v>
      </c>
      <c r="C207" s="9" t="s">
        <v>223</v>
      </c>
      <c r="D207" s="9" t="n">
        <v>6</v>
      </c>
      <c r="E207" s="30" t="n">
        <v>408468</v>
      </c>
      <c r="F207" s="30" t="n">
        <v>141252</v>
      </c>
      <c r="G207" s="35" t="n">
        <v>0.345809218837216</v>
      </c>
    </row>
    <row r="208" customFormat="false" ht="15" hidden="false" customHeight="false" outlineLevel="0" collapsed="false">
      <c r="A208" s="25" t="s">
        <v>445</v>
      </c>
      <c r="B208" s="25" t="s">
        <v>194</v>
      </c>
      <c r="C208" s="29" t="s">
        <v>203</v>
      </c>
      <c r="D208" s="29" t="n">
        <v>72</v>
      </c>
      <c r="E208" s="31" t="n">
        <v>405128</v>
      </c>
      <c r="F208" s="31" t="n">
        <v>145640</v>
      </c>
      <c r="G208" s="37" t="n">
        <v>0.359491321261428</v>
      </c>
    </row>
    <row r="209" customFormat="false" ht="15" hidden="false" customHeight="false" outlineLevel="0" collapsed="false">
      <c r="A209" s="20" t="s">
        <v>446</v>
      </c>
      <c r="B209" s="20" t="s">
        <v>194</v>
      </c>
      <c r="C209" s="9" t="s">
        <v>203</v>
      </c>
      <c r="D209" s="9" t="n">
        <v>152</v>
      </c>
      <c r="E209" s="30" t="n">
        <v>403712</v>
      </c>
      <c r="F209" s="30" t="n">
        <v>203984</v>
      </c>
      <c r="G209" s="35" t="n">
        <v>0.505271084337349</v>
      </c>
    </row>
    <row r="210" customFormat="false" ht="15" hidden="false" customHeight="false" outlineLevel="0" collapsed="false">
      <c r="A210" s="25" t="s">
        <v>447</v>
      </c>
      <c r="B210" s="29" t="s">
        <v>253</v>
      </c>
      <c r="C210" s="29" t="s">
        <v>223</v>
      </c>
      <c r="D210" s="29" t="n">
        <v>73</v>
      </c>
      <c r="E210" s="31" t="n">
        <v>400697</v>
      </c>
      <c r="F210" s="31" t="n">
        <v>88768</v>
      </c>
      <c r="G210" s="37" t="n">
        <v>0.221533977044999</v>
      </c>
    </row>
    <row r="211" customFormat="false" ht="15" hidden="false" customHeight="false" outlineLevel="0" collapsed="false">
      <c r="A211" s="20" t="s">
        <v>448</v>
      </c>
      <c r="B211" s="20" t="s">
        <v>194</v>
      </c>
      <c r="C211" s="9" t="s">
        <v>254</v>
      </c>
      <c r="D211" s="9" t="n">
        <v>18</v>
      </c>
      <c r="E211" s="30" t="n">
        <v>399798</v>
      </c>
      <c r="F211" s="30" t="n">
        <v>68400</v>
      </c>
      <c r="G211" s="35" t="n">
        <v>0.171086398631309</v>
      </c>
    </row>
    <row r="212" customFormat="false" ht="15" hidden="false" customHeight="false" outlineLevel="0" collapsed="false">
      <c r="A212" s="25" t="s">
        <v>449</v>
      </c>
      <c r="B212" s="25" t="s">
        <v>194</v>
      </c>
      <c r="C212" s="29" t="s">
        <v>217</v>
      </c>
      <c r="D212" s="29" t="n">
        <v>6</v>
      </c>
      <c r="E212" s="31" t="n">
        <v>399522</v>
      </c>
      <c r="F212" s="31" t="n">
        <v>49854</v>
      </c>
      <c r="G212" s="37" t="n">
        <v>0.124784117019839</v>
      </c>
    </row>
    <row r="213" customFormat="false" ht="15" hidden="false" customHeight="false" outlineLevel="0" collapsed="false">
      <c r="A213" s="20" t="s">
        <v>450</v>
      </c>
      <c r="B213" s="9" t="s">
        <v>451</v>
      </c>
      <c r="C213" s="9" t="s">
        <v>452</v>
      </c>
      <c r="D213" s="9" t="n">
        <v>300</v>
      </c>
      <c r="E213" s="30" t="n">
        <v>396000</v>
      </c>
      <c r="F213" s="30" t="n">
        <v>59400</v>
      </c>
      <c r="G213" s="35" t="n">
        <v>0.15</v>
      </c>
    </row>
    <row r="214" customFormat="false" ht="15" hidden="false" customHeight="false" outlineLevel="0" collapsed="false">
      <c r="A214" s="25" t="s">
        <v>453</v>
      </c>
      <c r="B214" s="25" t="s">
        <v>194</v>
      </c>
      <c r="C214" s="29" t="s">
        <v>203</v>
      </c>
      <c r="D214" s="29" t="n">
        <v>3</v>
      </c>
      <c r="E214" s="31" t="n">
        <v>395094</v>
      </c>
      <c r="F214" s="31" t="n">
        <v>23475</v>
      </c>
      <c r="G214" s="37" t="n">
        <v>0.0594162401858798</v>
      </c>
    </row>
    <row r="215" customFormat="false" ht="15" hidden="false" customHeight="false" outlineLevel="0" collapsed="false">
      <c r="A215" s="20" t="s">
        <v>454</v>
      </c>
      <c r="B215" s="20" t="s">
        <v>194</v>
      </c>
      <c r="C215" s="9" t="s">
        <v>231</v>
      </c>
      <c r="D215" s="9" t="n">
        <v>6</v>
      </c>
      <c r="E215" s="30" t="n">
        <v>394788</v>
      </c>
      <c r="F215" s="30" t="n">
        <v>-6906</v>
      </c>
      <c r="G215" s="35" t="n">
        <v>-0.0174929329158941</v>
      </c>
    </row>
    <row r="216" customFormat="false" ht="15" hidden="false" customHeight="false" outlineLevel="0" collapsed="false">
      <c r="A216" s="25" t="s">
        <v>455</v>
      </c>
      <c r="B216" s="25" t="s">
        <v>194</v>
      </c>
      <c r="C216" s="29" t="s">
        <v>203</v>
      </c>
      <c r="D216" s="29" t="n">
        <v>6</v>
      </c>
      <c r="E216" s="31" t="n">
        <v>388440</v>
      </c>
      <c r="F216" s="31" t="n">
        <v>53742</v>
      </c>
      <c r="G216" s="37" t="n">
        <v>0.138353413654618</v>
      </c>
    </row>
    <row r="217" customFormat="false" ht="15" hidden="false" customHeight="false" outlineLevel="0" collapsed="false">
      <c r="A217" s="20" t="s">
        <v>456</v>
      </c>
      <c r="B217" s="20" t="s">
        <v>200</v>
      </c>
      <c r="C217" s="9" t="s">
        <v>223</v>
      </c>
      <c r="D217" s="9" t="n">
        <v>4</v>
      </c>
      <c r="E217" s="30" t="n">
        <v>386212</v>
      </c>
      <c r="F217" s="30" t="n">
        <v>160656</v>
      </c>
      <c r="G217" s="35" t="n">
        <v>0.415978788851719</v>
      </c>
    </row>
    <row r="218" customFormat="false" ht="15" hidden="false" customHeight="false" outlineLevel="0" collapsed="false">
      <c r="A218" s="25" t="s">
        <v>457</v>
      </c>
      <c r="B218" s="25" t="s">
        <v>194</v>
      </c>
      <c r="C218" s="29" t="s">
        <v>231</v>
      </c>
      <c r="D218" s="29" t="n">
        <v>31</v>
      </c>
      <c r="E218" s="31" t="n">
        <v>384059</v>
      </c>
      <c r="F218" s="31" t="n">
        <v>68138</v>
      </c>
      <c r="G218" s="37" t="n">
        <v>0.177415449188797</v>
      </c>
    </row>
    <row r="219" customFormat="false" ht="15" hidden="false" customHeight="false" outlineLevel="0" collapsed="false">
      <c r="A219" s="20" t="s">
        <v>458</v>
      </c>
      <c r="B219" s="20" t="s">
        <v>200</v>
      </c>
      <c r="C219" s="9" t="s">
        <v>428</v>
      </c>
      <c r="D219" s="9" t="n">
        <v>14</v>
      </c>
      <c r="E219" s="30" t="n">
        <v>381892</v>
      </c>
      <c r="F219" s="30" t="n">
        <v>89292</v>
      </c>
      <c r="G219" s="35" t="n">
        <v>0.233814795806144</v>
      </c>
    </row>
    <row r="220" customFormat="false" ht="15" hidden="false" customHeight="false" outlineLevel="0" collapsed="false">
      <c r="A220" s="25" t="s">
        <v>459</v>
      </c>
      <c r="B220" s="25" t="s">
        <v>194</v>
      </c>
      <c r="C220" s="29" t="s">
        <v>217</v>
      </c>
      <c r="D220" s="29" t="n">
        <v>177</v>
      </c>
      <c r="E220" s="31" t="n">
        <v>380904</v>
      </c>
      <c r="F220" s="31" t="n">
        <v>354354</v>
      </c>
      <c r="G220" s="37" t="n">
        <v>0.930297397769517</v>
      </c>
    </row>
    <row r="221" customFormat="false" ht="15" hidden="false" customHeight="false" outlineLevel="0" collapsed="false">
      <c r="A221" s="20" t="s">
        <v>460</v>
      </c>
      <c r="B221" s="20" t="s">
        <v>194</v>
      </c>
      <c r="C221" s="9" t="s">
        <v>368</v>
      </c>
      <c r="D221" s="9" t="n">
        <v>7</v>
      </c>
      <c r="E221" s="30" t="n">
        <v>379589</v>
      </c>
      <c r="F221" s="30" t="n">
        <v>108955</v>
      </c>
      <c r="G221" s="35" t="n">
        <v>0.287034134287348</v>
      </c>
    </row>
    <row r="222" customFormat="false" ht="15" hidden="false" customHeight="false" outlineLevel="0" collapsed="false">
      <c r="A222" s="25" t="s">
        <v>461</v>
      </c>
      <c r="B222" s="25" t="s">
        <v>200</v>
      </c>
      <c r="C222" s="29" t="s">
        <v>297</v>
      </c>
      <c r="D222" s="29" t="n">
        <v>277</v>
      </c>
      <c r="E222" s="31" t="n">
        <v>377925</v>
      </c>
      <c r="F222" s="31" t="n">
        <v>315600</v>
      </c>
      <c r="G222" s="37" t="n">
        <v>0.835086326652114</v>
      </c>
    </row>
    <row r="223" customFormat="false" ht="15" hidden="false" customHeight="false" outlineLevel="0" collapsed="false">
      <c r="A223" s="20" t="s">
        <v>462</v>
      </c>
      <c r="B223" s="20" t="s">
        <v>194</v>
      </c>
      <c r="C223" s="9" t="s">
        <v>203</v>
      </c>
      <c r="D223" s="9" t="n">
        <v>48</v>
      </c>
      <c r="E223" s="30" t="n">
        <v>376656</v>
      </c>
      <c r="F223" s="30" t="n">
        <v>208848</v>
      </c>
      <c r="G223" s="35" t="n">
        <v>0.554479418886199</v>
      </c>
    </row>
    <row r="224" customFormat="false" ht="15" hidden="false" customHeight="false" outlineLevel="0" collapsed="false">
      <c r="A224" s="25" t="s">
        <v>463</v>
      </c>
      <c r="B224" s="25" t="s">
        <v>194</v>
      </c>
      <c r="C224" s="29" t="s">
        <v>203</v>
      </c>
      <c r="D224" s="29" t="n">
        <v>26</v>
      </c>
      <c r="E224" s="31" t="n">
        <v>374816</v>
      </c>
      <c r="F224" s="31" t="n">
        <v>206518</v>
      </c>
      <c r="G224" s="37" t="n">
        <v>0.550985016648169</v>
      </c>
    </row>
    <row r="225" customFormat="false" ht="15" hidden="false" customHeight="false" outlineLevel="0" collapsed="false">
      <c r="A225" s="20" t="s">
        <v>464</v>
      </c>
      <c r="B225" s="20" t="s">
        <v>194</v>
      </c>
      <c r="C225" s="9" t="s">
        <v>231</v>
      </c>
      <c r="D225" s="9" t="n">
        <v>4</v>
      </c>
      <c r="E225" s="30" t="n">
        <v>371856</v>
      </c>
      <c r="F225" s="30" t="n">
        <v>25612</v>
      </c>
      <c r="G225" s="35" t="n">
        <v>0.068876124091046</v>
      </c>
    </row>
    <row r="226" customFormat="false" ht="15" hidden="false" customHeight="false" outlineLevel="0" collapsed="false">
      <c r="A226" s="25" t="s">
        <v>465</v>
      </c>
      <c r="B226" s="29" t="s">
        <v>253</v>
      </c>
      <c r="C226" s="29" t="s">
        <v>223</v>
      </c>
      <c r="D226" s="29" t="n">
        <v>34</v>
      </c>
      <c r="E226" s="31" t="n">
        <v>371008</v>
      </c>
      <c r="F226" s="31" t="n">
        <v>39236</v>
      </c>
      <c r="G226" s="37" t="n">
        <v>0.105755131964809</v>
      </c>
    </row>
    <row r="227" customFormat="false" ht="15" hidden="false" customHeight="false" outlineLevel="0" collapsed="false">
      <c r="A227" s="20" t="s">
        <v>466</v>
      </c>
      <c r="B227" s="20" t="s">
        <v>194</v>
      </c>
      <c r="C227" s="9" t="s">
        <v>223</v>
      </c>
      <c r="D227" s="9" t="n">
        <v>3</v>
      </c>
      <c r="E227" s="30" t="n">
        <v>370746</v>
      </c>
      <c r="F227" s="30" t="n">
        <v>126747</v>
      </c>
      <c r="G227" s="35" t="n">
        <v>0.341870175268243</v>
      </c>
    </row>
    <row r="228" customFormat="false" ht="15" hidden="false" customHeight="false" outlineLevel="0" collapsed="false">
      <c r="A228" s="25" t="s">
        <v>467</v>
      </c>
      <c r="B228" s="25" t="s">
        <v>194</v>
      </c>
      <c r="C228" s="29" t="s">
        <v>195</v>
      </c>
      <c r="D228" s="29" t="n">
        <v>50</v>
      </c>
      <c r="E228" s="31" t="n">
        <v>369770</v>
      </c>
      <c r="F228" s="31" t="n">
        <v>123470</v>
      </c>
      <c r="G228" s="37" t="n">
        <v>0.333910268545312</v>
      </c>
    </row>
    <row r="229" customFormat="false" ht="15" hidden="false" customHeight="false" outlineLevel="0" collapsed="false">
      <c r="A229" s="20" t="s">
        <v>468</v>
      </c>
      <c r="B229" s="20" t="s">
        <v>194</v>
      </c>
      <c r="C229" s="9" t="s">
        <v>197</v>
      </c>
      <c r="D229" s="9" t="n">
        <v>69</v>
      </c>
      <c r="E229" s="30" t="n">
        <v>369564</v>
      </c>
      <c r="F229" s="30" t="n">
        <v>154284</v>
      </c>
      <c r="G229" s="35" t="n">
        <v>0.41747572815534</v>
      </c>
    </row>
    <row r="230" customFormat="false" ht="15" hidden="false" customHeight="false" outlineLevel="0" collapsed="false">
      <c r="A230" s="25" t="s">
        <v>469</v>
      </c>
      <c r="B230" s="25" t="s">
        <v>194</v>
      </c>
      <c r="C230" s="29" t="s">
        <v>231</v>
      </c>
      <c r="D230" s="29" t="n">
        <v>834</v>
      </c>
      <c r="E230" s="31" t="n">
        <v>365723</v>
      </c>
      <c r="F230" s="31" t="n">
        <v>278153</v>
      </c>
      <c r="G230" s="37" t="n">
        <v>0.760556486739965</v>
      </c>
    </row>
    <row r="231" customFormat="false" ht="15" hidden="false" customHeight="false" outlineLevel="0" collapsed="false">
      <c r="A231" s="20" t="s">
        <v>470</v>
      </c>
      <c r="B231" s="20" t="s">
        <v>200</v>
      </c>
      <c r="C231" s="9" t="s">
        <v>223</v>
      </c>
      <c r="D231" s="9" t="n">
        <v>5</v>
      </c>
      <c r="E231" s="30" t="n">
        <v>357575</v>
      </c>
      <c r="F231" s="30" t="n">
        <v>118030</v>
      </c>
      <c r="G231" s="35" t="n">
        <v>0.330084597636859</v>
      </c>
    </row>
    <row r="232" customFormat="false" ht="15" hidden="false" customHeight="false" outlineLevel="0" collapsed="false">
      <c r="A232" s="25" t="s">
        <v>471</v>
      </c>
      <c r="B232" s="25" t="s">
        <v>472</v>
      </c>
      <c r="C232" s="29" t="s">
        <v>334</v>
      </c>
      <c r="D232" s="29" t="n">
        <v>20</v>
      </c>
      <c r="E232" s="31" t="n">
        <v>357480</v>
      </c>
      <c r="F232" s="31" t="n">
        <v>53620</v>
      </c>
      <c r="G232" s="37" t="n">
        <v>0.149994405281414</v>
      </c>
    </row>
    <row r="233" customFormat="false" ht="15" hidden="false" customHeight="false" outlineLevel="0" collapsed="false">
      <c r="A233" s="20" t="s">
        <v>473</v>
      </c>
      <c r="B233" s="20" t="s">
        <v>194</v>
      </c>
      <c r="C233" s="9" t="s">
        <v>231</v>
      </c>
      <c r="D233" s="9" t="n">
        <v>4</v>
      </c>
      <c r="E233" s="30" t="n">
        <v>357124</v>
      </c>
      <c r="F233" s="30" t="n">
        <v>304</v>
      </c>
      <c r="G233" s="35" t="n">
        <v>0.0008512449457331</v>
      </c>
    </row>
    <row r="234" customFormat="false" ht="15" hidden="false" customHeight="false" outlineLevel="0" collapsed="false">
      <c r="A234" s="25" t="s">
        <v>474</v>
      </c>
      <c r="B234" s="25" t="s">
        <v>194</v>
      </c>
      <c r="C234" s="29" t="s">
        <v>203</v>
      </c>
      <c r="D234" s="29" t="n">
        <v>11</v>
      </c>
      <c r="E234" s="31" t="n">
        <v>356708</v>
      </c>
      <c r="F234" s="31" t="n">
        <v>39083</v>
      </c>
      <c r="G234" s="37" t="n">
        <v>0.109565807327001</v>
      </c>
    </row>
    <row r="235" customFormat="false" ht="15" hidden="false" customHeight="false" outlineLevel="0" collapsed="false">
      <c r="A235" s="20" t="s">
        <v>475</v>
      </c>
      <c r="B235" s="20" t="s">
        <v>194</v>
      </c>
      <c r="C235" s="9" t="s">
        <v>334</v>
      </c>
      <c r="D235" s="9" t="n">
        <v>14</v>
      </c>
      <c r="E235" s="30" t="n">
        <v>355372</v>
      </c>
      <c r="F235" s="30" t="n">
        <v>47372</v>
      </c>
      <c r="G235" s="35" t="n">
        <v>0.133302567450446</v>
      </c>
    </row>
    <row r="236" customFormat="false" ht="15" hidden="false" customHeight="false" outlineLevel="0" collapsed="false">
      <c r="A236" s="25" t="s">
        <v>476</v>
      </c>
      <c r="B236" s="25" t="s">
        <v>194</v>
      </c>
      <c r="C236" s="29" t="s">
        <v>197</v>
      </c>
      <c r="D236" s="29" t="n">
        <v>36</v>
      </c>
      <c r="E236" s="31" t="n">
        <v>352800</v>
      </c>
      <c r="F236" s="31" t="n">
        <v>179172</v>
      </c>
      <c r="G236" s="37" t="n">
        <v>0.507857142857143</v>
      </c>
    </row>
    <row r="237" customFormat="false" ht="15" hidden="false" customHeight="false" outlineLevel="0" collapsed="false">
      <c r="A237" s="20" t="s">
        <v>477</v>
      </c>
      <c r="B237" s="20" t="s">
        <v>194</v>
      </c>
      <c r="C237" s="9" t="s">
        <v>203</v>
      </c>
      <c r="D237" s="9" t="n">
        <v>66</v>
      </c>
      <c r="E237" s="30" t="n">
        <v>348942</v>
      </c>
      <c r="F237" s="30" t="n">
        <v>89826</v>
      </c>
      <c r="G237" s="35" t="n">
        <v>0.257423869869491</v>
      </c>
    </row>
    <row r="238" customFormat="false" ht="15" hidden="false" customHeight="false" outlineLevel="0" collapsed="false">
      <c r="A238" s="25" t="s">
        <v>478</v>
      </c>
      <c r="B238" s="25" t="s">
        <v>194</v>
      </c>
      <c r="C238" s="29" t="s">
        <v>479</v>
      </c>
      <c r="D238" s="29" t="n">
        <v>8</v>
      </c>
      <c r="E238" s="31" t="n">
        <v>346624</v>
      </c>
      <c r="F238" s="31" t="n">
        <v>207424</v>
      </c>
      <c r="G238" s="37" t="n">
        <v>0.598412112259971</v>
      </c>
    </row>
    <row r="239" customFormat="false" ht="15" hidden="false" customHeight="false" outlineLevel="0" collapsed="false">
      <c r="A239" s="20" t="s">
        <v>480</v>
      </c>
      <c r="B239" s="20" t="s">
        <v>194</v>
      </c>
      <c r="C239" s="9" t="s">
        <v>217</v>
      </c>
      <c r="D239" s="9" t="n">
        <v>3</v>
      </c>
      <c r="E239" s="30" t="n">
        <v>346122</v>
      </c>
      <c r="F239" s="30" t="n">
        <v>117822</v>
      </c>
      <c r="G239" s="35" t="n">
        <v>0.340405984017196</v>
      </c>
    </row>
    <row r="240" customFormat="false" ht="15" hidden="false" customHeight="false" outlineLevel="0" collapsed="false">
      <c r="A240" s="25" t="s">
        <v>481</v>
      </c>
      <c r="B240" s="25" t="s">
        <v>194</v>
      </c>
      <c r="C240" s="29" t="s">
        <v>195</v>
      </c>
      <c r="D240" s="29" t="n">
        <v>4</v>
      </c>
      <c r="E240" s="31" t="n">
        <v>344580</v>
      </c>
      <c r="F240" s="31" t="n">
        <v>48308</v>
      </c>
      <c r="G240" s="37" t="n">
        <v>0.140193859190899</v>
      </c>
    </row>
    <row r="241" customFormat="false" ht="15" hidden="false" customHeight="false" outlineLevel="0" collapsed="false">
      <c r="A241" s="20" t="s">
        <v>482</v>
      </c>
      <c r="B241" s="20" t="s">
        <v>194</v>
      </c>
      <c r="C241" s="9" t="s">
        <v>203</v>
      </c>
      <c r="D241" s="9" t="n">
        <v>4</v>
      </c>
      <c r="E241" s="30" t="n">
        <v>341600</v>
      </c>
      <c r="F241" s="30" t="n">
        <v>63488</v>
      </c>
      <c r="G241" s="35" t="n">
        <v>0.185854800936768</v>
      </c>
    </row>
    <row r="242" customFormat="false" ht="15" hidden="false" customHeight="false" outlineLevel="0" collapsed="false">
      <c r="A242" s="25" t="s">
        <v>483</v>
      </c>
      <c r="B242" s="25" t="s">
        <v>194</v>
      </c>
      <c r="C242" s="29" t="s">
        <v>203</v>
      </c>
      <c r="D242" s="29" t="n">
        <v>588</v>
      </c>
      <c r="E242" s="31" t="n">
        <v>338688</v>
      </c>
      <c r="F242" s="31" t="n">
        <v>191100</v>
      </c>
      <c r="G242" s="37" t="n">
        <v>0.564236111111111</v>
      </c>
    </row>
    <row r="243" customFormat="false" ht="15" hidden="false" customHeight="false" outlineLevel="0" collapsed="false">
      <c r="A243" s="20" t="s">
        <v>484</v>
      </c>
      <c r="B243" s="20" t="s">
        <v>194</v>
      </c>
      <c r="C243" s="9" t="s">
        <v>485</v>
      </c>
      <c r="D243" s="9" t="n">
        <v>2</v>
      </c>
      <c r="E243" s="30" t="n">
        <v>333658</v>
      </c>
      <c r="F243" s="30" t="n">
        <v>112174</v>
      </c>
      <c r="G243" s="35" t="n">
        <v>0.336194546511698</v>
      </c>
    </row>
    <row r="244" customFormat="false" ht="15" hidden="false" customHeight="false" outlineLevel="0" collapsed="false">
      <c r="A244" s="25" t="s">
        <v>486</v>
      </c>
      <c r="B244" s="25" t="s">
        <v>233</v>
      </c>
      <c r="C244" s="29" t="s">
        <v>223</v>
      </c>
      <c r="D244" s="29" t="n">
        <v>260</v>
      </c>
      <c r="E244" s="31" t="n">
        <v>330200</v>
      </c>
      <c r="F244" s="31" t="n">
        <v>247000</v>
      </c>
      <c r="G244" s="37" t="n">
        <v>0.748031496062992</v>
      </c>
    </row>
    <row r="245" customFormat="false" ht="15" hidden="false" customHeight="false" outlineLevel="0" collapsed="false">
      <c r="A245" s="20" t="s">
        <v>487</v>
      </c>
      <c r="B245" s="9" t="s">
        <v>359</v>
      </c>
      <c r="C245" s="9" t="s">
        <v>297</v>
      </c>
      <c r="D245" s="9" t="n">
        <v>16</v>
      </c>
      <c r="E245" s="30" t="n">
        <v>328000</v>
      </c>
      <c r="F245" s="30" t="n">
        <v>49200</v>
      </c>
      <c r="G245" s="35" t="n">
        <v>0.15</v>
      </c>
    </row>
    <row r="246" customFormat="false" ht="15" hidden="false" customHeight="false" outlineLevel="0" collapsed="false">
      <c r="A246" s="25" t="s">
        <v>488</v>
      </c>
      <c r="B246" s="25" t="s">
        <v>194</v>
      </c>
      <c r="C246" s="29" t="s">
        <v>209</v>
      </c>
      <c r="D246" s="29" t="n">
        <v>12</v>
      </c>
      <c r="E246" s="31" t="n">
        <v>325356</v>
      </c>
      <c r="F246" s="31" t="n">
        <v>93948</v>
      </c>
      <c r="G246" s="37" t="n">
        <v>0.28875447202449</v>
      </c>
    </row>
    <row r="247" customFormat="false" ht="15" hidden="false" customHeight="false" outlineLevel="0" collapsed="false">
      <c r="A247" s="20" t="s">
        <v>489</v>
      </c>
      <c r="B247" s="20" t="s">
        <v>194</v>
      </c>
      <c r="C247" s="9" t="s">
        <v>195</v>
      </c>
      <c r="D247" s="9" t="n">
        <v>11</v>
      </c>
      <c r="E247" s="30" t="n">
        <v>323763</v>
      </c>
      <c r="F247" s="30" t="n">
        <v>9966</v>
      </c>
      <c r="G247" s="35" t="n">
        <v>0.030781775558047</v>
      </c>
    </row>
    <row r="248" customFormat="false" ht="15" hidden="false" customHeight="false" outlineLevel="0" collapsed="false">
      <c r="A248" s="25" t="s">
        <v>490</v>
      </c>
      <c r="B248" s="25" t="s">
        <v>194</v>
      </c>
      <c r="C248" s="29" t="s">
        <v>386</v>
      </c>
      <c r="D248" s="29" t="n">
        <v>54</v>
      </c>
      <c r="E248" s="31" t="n">
        <v>323568</v>
      </c>
      <c r="F248" s="31" t="n">
        <v>77004</v>
      </c>
      <c r="G248" s="37" t="n">
        <v>0.237983978638184</v>
      </c>
    </row>
    <row r="249" customFormat="false" ht="15" hidden="false" customHeight="false" outlineLevel="0" collapsed="false">
      <c r="A249" s="20" t="s">
        <v>491</v>
      </c>
      <c r="B249" s="20" t="s">
        <v>233</v>
      </c>
      <c r="C249" s="9" t="s">
        <v>223</v>
      </c>
      <c r="D249" s="9" t="n">
        <v>33</v>
      </c>
      <c r="E249" s="30" t="n">
        <v>323400</v>
      </c>
      <c r="F249" s="30" t="n">
        <v>66429</v>
      </c>
      <c r="G249" s="35" t="n">
        <v>0.205408163265306</v>
      </c>
    </row>
    <row r="250" customFormat="false" ht="15" hidden="false" customHeight="false" outlineLevel="0" collapsed="false">
      <c r="A250" s="25" t="s">
        <v>492</v>
      </c>
      <c r="B250" s="25" t="s">
        <v>220</v>
      </c>
      <c r="C250" s="29" t="s">
        <v>217</v>
      </c>
      <c r="D250" s="29" t="n">
        <v>135</v>
      </c>
      <c r="E250" s="31" t="n">
        <v>323055</v>
      </c>
      <c r="F250" s="31" t="n">
        <v>-30510</v>
      </c>
      <c r="G250" s="37" t="n">
        <v>-0.0944421228583368</v>
      </c>
    </row>
    <row r="251" customFormat="false" ht="15" hidden="false" customHeight="false" outlineLevel="0" collapsed="false">
      <c r="A251" s="20" t="s">
        <v>493</v>
      </c>
      <c r="B251" s="20" t="s">
        <v>194</v>
      </c>
      <c r="C251" s="9" t="s">
        <v>197</v>
      </c>
      <c r="D251" s="9" t="n">
        <v>69</v>
      </c>
      <c r="E251" s="30" t="n">
        <v>320712</v>
      </c>
      <c r="F251" s="30" t="n">
        <v>101499</v>
      </c>
      <c r="G251" s="35" t="n">
        <v>0.316480206540448</v>
      </c>
    </row>
    <row r="252" customFormat="false" ht="15" hidden="false" customHeight="false" outlineLevel="0" collapsed="false">
      <c r="A252" s="25" t="s">
        <v>494</v>
      </c>
      <c r="B252" s="25" t="s">
        <v>194</v>
      </c>
      <c r="C252" s="29" t="s">
        <v>217</v>
      </c>
      <c r="D252" s="29" t="n">
        <v>34</v>
      </c>
      <c r="E252" s="31" t="n">
        <v>318104</v>
      </c>
      <c r="F252" s="31" t="n">
        <v>116620</v>
      </c>
      <c r="G252" s="37" t="n">
        <v>0.366609662248824</v>
      </c>
    </row>
    <row r="253" customFormat="false" ht="15" hidden="false" customHeight="false" outlineLevel="0" collapsed="false">
      <c r="A253" s="20" t="s">
        <v>495</v>
      </c>
      <c r="B253" s="20" t="s">
        <v>200</v>
      </c>
      <c r="C253" s="9" t="s">
        <v>223</v>
      </c>
      <c r="D253" s="9" t="n">
        <v>5</v>
      </c>
      <c r="E253" s="30" t="n">
        <v>310355</v>
      </c>
      <c r="F253" s="30" t="n">
        <v>97580</v>
      </c>
      <c r="G253" s="35" t="n">
        <v>0.314414138647678</v>
      </c>
    </row>
    <row r="254" customFormat="false" ht="15" hidden="false" customHeight="false" outlineLevel="0" collapsed="false">
      <c r="A254" s="25" t="s">
        <v>496</v>
      </c>
      <c r="B254" s="25" t="s">
        <v>194</v>
      </c>
      <c r="C254" s="29" t="s">
        <v>217</v>
      </c>
      <c r="D254" s="29" t="n">
        <v>2</v>
      </c>
      <c r="E254" s="31" t="n">
        <v>310070</v>
      </c>
      <c r="F254" s="31" t="n">
        <v>128030</v>
      </c>
      <c r="G254" s="37" t="n">
        <v>0.412906762989003</v>
      </c>
    </row>
    <row r="255" customFormat="false" ht="15" hidden="false" customHeight="false" outlineLevel="0" collapsed="false">
      <c r="A255" s="20" t="s">
        <v>497</v>
      </c>
      <c r="B255" s="20" t="s">
        <v>200</v>
      </c>
      <c r="C255" s="9" t="s">
        <v>368</v>
      </c>
      <c r="D255" s="9" t="n">
        <v>6</v>
      </c>
      <c r="E255" s="30" t="n">
        <v>309588</v>
      </c>
      <c r="F255" s="30" t="n">
        <v>49956</v>
      </c>
      <c r="G255" s="35" t="n">
        <v>0.161362843521067</v>
      </c>
    </row>
    <row r="256" customFormat="false" ht="15" hidden="false" customHeight="false" outlineLevel="0" collapsed="false">
      <c r="A256" s="25" t="s">
        <v>498</v>
      </c>
      <c r="B256" s="25" t="s">
        <v>194</v>
      </c>
      <c r="C256" s="29" t="s">
        <v>217</v>
      </c>
      <c r="D256" s="29" t="n">
        <v>5</v>
      </c>
      <c r="E256" s="31" t="n">
        <v>307185</v>
      </c>
      <c r="F256" s="31" t="n">
        <v>20490</v>
      </c>
      <c r="G256" s="37" t="n">
        <v>0.0667024757068216</v>
      </c>
    </row>
    <row r="257" customFormat="false" ht="15" hidden="false" customHeight="false" outlineLevel="0" collapsed="false">
      <c r="A257" s="20" t="s">
        <v>499</v>
      </c>
      <c r="B257" s="20" t="s">
        <v>194</v>
      </c>
      <c r="C257" s="9" t="s">
        <v>203</v>
      </c>
      <c r="D257" s="9" t="n">
        <v>4</v>
      </c>
      <c r="E257" s="30" t="n">
        <v>305792</v>
      </c>
      <c r="F257" s="30" t="n">
        <v>20620</v>
      </c>
      <c r="G257" s="35" t="n">
        <v>0.0674314566764336</v>
      </c>
    </row>
    <row r="258" customFormat="false" ht="15" hidden="false" customHeight="false" outlineLevel="0" collapsed="false">
      <c r="A258" s="25" t="s">
        <v>500</v>
      </c>
      <c r="B258" s="25" t="s">
        <v>194</v>
      </c>
      <c r="C258" s="29" t="s">
        <v>209</v>
      </c>
      <c r="D258" s="29" t="n">
        <v>8</v>
      </c>
      <c r="E258" s="31" t="n">
        <v>305720</v>
      </c>
      <c r="F258" s="31" t="n">
        <v>41880</v>
      </c>
      <c r="G258" s="37" t="n">
        <v>0.136988093680492</v>
      </c>
    </row>
    <row r="259" customFormat="false" ht="15" hidden="false" customHeight="false" outlineLevel="0" collapsed="false">
      <c r="A259" s="20" t="s">
        <v>501</v>
      </c>
      <c r="B259" s="20" t="s">
        <v>194</v>
      </c>
      <c r="C259" s="9" t="s">
        <v>203</v>
      </c>
      <c r="D259" s="9" t="n">
        <v>51</v>
      </c>
      <c r="E259" s="30" t="n">
        <v>304674</v>
      </c>
      <c r="F259" s="30" t="n">
        <v>263874</v>
      </c>
      <c r="G259" s="35" t="n">
        <v>0.866086374288584</v>
      </c>
    </row>
    <row r="260" customFormat="false" ht="15" hidden="false" customHeight="false" outlineLevel="0" collapsed="false">
      <c r="A260" s="25" t="s">
        <v>502</v>
      </c>
      <c r="B260" s="25" t="s">
        <v>503</v>
      </c>
      <c r="C260" s="29" t="s">
        <v>203</v>
      </c>
      <c r="D260" s="29" t="n">
        <v>350</v>
      </c>
      <c r="E260" s="31" t="n">
        <v>304500</v>
      </c>
      <c r="F260" s="31" t="n">
        <v>45670</v>
      </c>
      <c r="G260" s="37" t="n">
        <v>0.149983579638752</v>
      </c>
    </row>
    <row r="261" customFormat="false" ht="15" hidden="false" customHeight="false" outlineLevel="0" collapsed="false">
      <c r="A261" s="20" t="s">
        <v>504</v>
      </c>
      <c r="B261" s="20" t="s">
        <v>194</v>
      </c>
      <c r="C261" s="9" t="s">
        <v>217</v>
      </c>
      <c r="D261" s="9" t="n">
        <v>230</v>
      </c>
      <c r="E261" s="30" t="n">
        <v>303600</v>
      </c>
      <c r="F261" s="30" t="n">
        <v>265880</v>
      </c>
      <c r="G261" s="35" t="n">
        <v>0.875757575757576</v>
      </c>
    </row>
    <row r="262" customFormat="false" ht="15" hidden="false" customHeight="false" outlineLevel="0" collapsed="false">
      <c r="A262" s="25" t="s">
        <v>505</v>
      </c>
      <c r="B262" s="25" t="s">
        <v>194</v>
      </c>
      <c r="C262" s="29" t="s">
        <v>203</v>
      </c>
      <c r="D262" s="29" t="n">
        <v>83</v>
      </c>
      <c r="E262" s="31" t="n">
        <v>303365</v>
      </c>
      <c r="F262" s="31" t="n">
        <v>155293</v>
      </c>
      <c r="G262" s="37" t="n">
        <v>0.511901504787962</v>
      </c>
    </row>
    <row r="263" customFormat="false" ht="15" hidden="false" customHeight="false" outlineLevel="0" collapsed="false">
      <c r="A263" s="20" t="s">
        <v>506</v>
      </c>
      <c r="B263" s="9" t="s">
        <v>507</v>
      </c>
      <c r="C263" s="9" t="s">
        <v>290</v>
      </c>
      <c r="D263" s="9" t="n">
        <v>15</v>
      </c>
      <c r="E263" s="30" t="n">
        <v>303180</v>
      </c>
      <c r="F263" s="30" t="n">
        <v>97020</v>
      </c>
      <c r="G263" s="35" t="n">
        <v>0.320007916089452</v>
      </c>
    </row>
    <row r="264" customFormat="false" ht="15" hidden="false" customHeight="false" outlineLevel="0" collapsed="false">
      <c r="A264" s="25" t="s">
        <v>508</v>
      </c>
      <c r="B264" s="25" t="s">
        <v>200</v>
      </c>
      <c r="C264" s="29" t="s">
        <v>223</v>
      </c>
      <c r="D264" s="29" t="n">
        <v>24</v>
      </c>
      <c r="E264" s="31" t="n">
        <v>297960</v>
      </c>
      <c r="F264" s="31" t="n">
        <v>47688</v>
      </c>
      <c r="G264" s="37" t="n">
        <v>0.160048328634716</v>
      </c>
    </row>
    <row r="265" customFormat="false" ht="15" hidden="false" customHeight="false" outlineLevel="0" collapsed="false">
      <c r="A265" s="20" t="s">
        <v>509</v>
      </c>
      <c r="B265" s="20" t="s">
        <v>194</v>
      </c>
      <c r="C265" s="9" t="s">
        <v>223</v>
      </c>
      <c r="D265" s="9" t="n">
        <v>78</v>
      </c>
      <c r="E265" s="30" t="n">
        <v>297570</v>
      </c>
      <c r="F265" s="30" t="n">
        <v>40794</v>
      </c>
      <c r="G265" s="35" t="n">
        <v>0.137090432503277</v>
      </c>
    </row>
    <row r="266" customFormat="false" ht="15" hidden="false" customHeight="false" outlineLevel="0" collapsed="false">
      <c r="A266" s="25" t="s">
        <v>510</v>
      </c>
      <c r="B266" s="25" t="s">
        <v>194</v>
      </c>
      <c r="C266" s="29" t="s">
        <v>334</v>
      </c>
      <c r="D266" s="29" t="n">
        <v>16</v>
      </c>
      <c r="E266" s="31" t="n">
        <v>296624</v>
      </c>
      <c r="F266" s="31" t="n">
        <v>64544</v>
      </c>
      <c r="G266" s="37" t="n">
        <v>0.217595339554453</v>
      </c>
    </row>
    <row r="267" customFormat="false" ht="15" hidden="false" customHeight="false" outlineLevel="0" collapsed="false">
      <c r="A267" s="20" t="s">
        <v>511</v>
      </c>
      <c r="B267" s="20" t="s">
        <v>194</v>
      </c>
      <c r="C267" s="9" t="s">
        <v>203</v>
      </c>
      <c r="D267" s="9" t="n">
        <v>6</v>
      </c>
      <c r="E267" s="30" t="n">
        <v>293166</v>
      </c>
      <c r="F267" s="30" t="n">
        <v>62550</v>
      </c>
      <c r="G267" s="35" t="n">
        <v>0.213360348744397</v>
      </c>
    </row>
    <row r="268" customFormat="false" ht="15" hidden="false" customHeight="false" outlineLevel="0" collapsed="false">
      <c r="A268" s="25" t="s">
        <v>512</v>
      </c>
      <c r="B268" s="25" t="s">
        <v>194</v>
      </c>
      <c r="C268" s="29" t="s">
        <v>217</v>
      </c>
      <c r="D268" s="29" t="n">
        <v>350</v>
      </c>
      <c r="E268" s="31" t="n">
        <v>292250</v>
      </c>
      <c r="F268" s="31" t="n">
        <v>85400</v>
      </c>
      <c r="G268" s="37" t="n">
        <v>0.292215568862275</v>
      </c>
    </row>
    <row r="269" customFormat="false" ht="15" hidden="false" customHeight="false" outlineLevel="0" collapsed="false">
      <c r="A269" s="20" t="s">
        <v>513</v>
      </c>
      <c r="B269" s="20" t="s">
        <v>194</v>
      </c>
      <c r="C269" s="9" t="s">
        <v>203</v>
      </c>
      <c r="D269" s="9" t="n">
        <v>23</v>
      </c>
      <c r="E269" s="30" t="n">
        <v>288834</v>
      </c>
      <c r="F269" s="30" t="n">
        <v>120428</v>
      </c>
      <c r="G269" s="35" t="n">
        <v>0.416945373467113</v>
      </c>
    </row>
    <row r="270" customFormat="false" ht="15" hidden="false" customHeight="false" outlineLevel="0" collapsed="false">
      <c r="A270" s="25" t="s">
        <v>514</v>
      </c>
      <c r="B270" s="25" t="s">
        <v>194</v>
      </c>
      <c r="C270" s="29" t="s">
        <v>203</v>
      </c>
      <c r="D270" s="29" t="n">
        <v>173</v>
      </c>
      <c r="E270" s="31" t="n">
        <v>287388</v>
      </c>
      <c r="F270" s="31" t="n">
        <v>210528</v>
      </c>
      <c r="G270" s="37" t="n">
        <v>0.732556682951271</v>
      </c>
    </row>
    <row r="271" customFormat="false" ht="15" hidden="false" customHeight="false" outlineLevel="0" collapsed="false">
      <c r="A271" s="20" t="s">
        <v>515</v>
      </c>
      <c r="B271" s="20" t="s">
        <v>194</v>
      </c>
      <c r="C271" s="9" t="s">
        <v>516</v>
      </c>
      <c r="D271" s="9" t="n">
        <v>20</v>
      </c>
      <c r="E271" s="30" t="n">
        <v>286240</v>
      </c>
      <c r="F271" s="30" t="n">
        <v>71340</v>
      </c>
      <c r="G271" s="35" t="n">
        <v>0.249231414197876</v>
      </c>
    </row>
    <row r="272" customFormat="false" ht="15" hidden="false" customHeight="false" outlineLevel="0" collapsed="false">
      <c r="A272" s="25" t="s">
        <v>517</v>
      </c>
      <c r="B272" s="29" t="s">
        <v>518</v>
      </c>
      <c r="C272" s="29" t="s">
        <v>290</v>
      </c>
      <c r="D272" s="29" t="n">
        <v>15</v>
      </c>
      <c r="E272" s="31" t="n">
        <v>285420</v>
      </c>
      <c r="F272" s="31" t="n">
        <v>91425</v>
      </c>
      <c r="G272" s="37" t="n">
        <v>0.320317426949758</v>
      </c>
    </row>
    <row r="273" customFormat="false" ht="15" hidden="false" customHeight="false" outlineLevel="0" collapsed="false">
      <c r="A273" s="20" t="s">
        <v>519</v>
      </c>
      <c r="B273" s="20" t="s">
        <v>228</v>
      </c>
      <c r="C273" s="9" t="s">
        <v>229</v>
      </c>
      <c r="D273" s="9" t="n">
        <v>5</v>
      </c>
      <c r="E273" s="30" t="n">
        <v>285000</v>
      </c>
      <c r="F273" s="30" t="n">
        <v>42700</v>
      </c>
      <c r="G273" s="35" t="n">
        <v>0.149824561403509</v>
      </c>
    </row>
    <row r="274" customFormat="false" ht="15" hidden="false" customHeight="false" outlineLevel="0" collapsed="false">
      <c r="A274" s="25" t="s">
        <v>520</v>
      </c>
      <c r="B274" s="25" t="s">
        <v>194</v>
      </c>
      <c r="C274" s="29" t="s">
        <v>223</v>
      </c>
      <c r="D274" s="29" t="n">
        <v>71</v>
      </c>
      <c r="E274" s="31" t="n">
        <v>284071</v>
      </c>
      <c r="F274" s="31" t="n">
        <v>-21087</v>
      </c>
      <c r="G274" s="37" t="n">
        <v>-0.0742314421394651</v>
      </c>
    </row>
    <row r="275" customFormat="false" ht="15" hidden="false" customHeight="false" outlineLevel="0" collapsed="false">
      <c r="A275" s="20" t="s">
        <v>521</v>
      </c>
      <c r="B275" s="20" t="s">
        <v>194</v>
      </c>
      <c r="C275" s="9" t="s">
        <v>203</v>
      </c>
      <c r="D275" s="9" t="n">
        <v>100</v>
      </c>
      <c r="E275" s="30" t="n">
        <v>283200</v>
      </c>
      <c r="F275" s="30" t="n">
        <v>56800</v>
      </c>
      <c r="G275" s="35" t="n">
        <v>0.200564971751412</v>
      </c>
    </row>
    <row r="276" customFormat="false" ht="15" hidden="false" customHeight="false" outlineLevel="0" collapsed="false">
      <c r="A276" s="25" t="s">
        <v>522</v>
      </c>
      <c r="B276" s="25" t="s">
        <v>194</v>
      </c>
      <c r="C276" s="29" t="s">
        <v>197</v>
      </c>
      <c r="D276" s="29" t="n">
        <v>61</v>
      </c>
      <c r="E276" s="31" t="n">
        <v>281820</v>
      </c>
      <c r="F276" s="31" t="n">
        <v>45018</v>
      </c>
      <c r="G276" s="37" t="n">
        <v>0.15974025974026</v>
      </c>
    </row>
    <row r="277" customFormat="false" ht="15" hidden="false" customHeight="false" outlineLevel="0" collapsed="false">
      <c r="A277" s="20" t="s">
        <v>523</v>
      </c>
      <c r="B277" s="20" t="s">
        <v>240</v>
      </c>
      <c r="C277" s="9" t="s">
        <v>223</v>
      </c>
      <c r="D277" s="9" t="n">
        <v>4</v>
      </c>
      <c r="E277" s="30" t="n">
        <v>279728</v>
      </c>
      <c r="F277" s="30" t="n">
        <v>49408</v>
      </c>
      <c r="G277" s="35" t="n">
        <v>0.176628725047189</v>
      </c>
    </row>
    <row r="278" customFormat="false" ht="15" hidden="false" customHeight="false" outlineLevel="0" collapsed="false">
      <c r="A278" s="25" t="s">
        <v>524</v>
      </c>
      <c r="B278" s="25" t="s">
        <v>194</v>
      </c>
      <c r="C278" s="29" t="s">
        <v>217</v>
      </c>
      <c r="D278" s="29" t="n">
        <v>4</v>
      </c>
      <c r="E278" s="31" t="n">
        <v>276676</v>
      </c>
      <c r="F278" s="31" t="n">
        <v>48656</v>
      </c>
      <c r="G278" s="37" t="n">
        <v>0.175859127643887</v>
      </c>
    </row>
    <row r="279" customFormat="false" ht="15" hidden="false" customHeight="false" outlineLevel="0" collapsed="false">
      <c r="A279" s="20" t="s">
        <v>525</v>
      </c>
      <c r="B279" s="9" t="s">
        <v>253</v>
      </c>
      <c r="C279" s="9" t="s">
        <v>254</v>
      </c>
      <c r="D279" s="9" t="n">
        <v>30</v>
      </c>
      <c r="E279" s="30" t="n">
        <v>275430</v>
      </c>
      <c r="F279" s="30" t="n">
        <v>220890</v>
      </c>
      <c r="G279" s="35" t="n">
        <v>0.801982354863305</v>
      </c>
    </row>
    <row r="280" customFormat="false" ht="15" hidden="false" customHeight="false" outlineLevel="0" collapsed="false">
      <c r="A280" s="25" t="s">
        <v>526</v>
      </c>
      <c r="B280" s="25" t="s">
        <v>200</v>
      </c>
      <c r="C280" s="29" t="s">
        <v>201</v>
      </c>
      <c r="D280" s="29" t="n">
        <v>15</v>
      </c>
      <c r="E280" s="31" t="n">
        <v>274080</v>
      </c>
      <c r="F280" s="31" t="n">
        <v>110250</v>
      </c>
      <c r="G280" s="37" t="n">
        <v>0.402254816112084</v>
      </c>
    </row>
    <row r="281" customFormat="false" ht="15" hidden="false" customHeight="false" outlineLevel="0" collapsed="false">
      <c r="A281" s="20" t="s">
        <v>527</v>
      </c>
      <c r="B281" s="20" t="s">
        <v>194</v>
      </c>
      <c r="C281" s="9" t="s">
        <v>209</v>
      </c>
      <c r="D281" s="9" t="n">
        <v>284</v>
      </c>
      <c r="E281" s="30" t="n">
        <v>273492</v>
      </c>
      <c r="F281" s="30" t="n">
        <v>-72136</v>
      </c>
      <c r="G281" s="35" t="n">
        <v>-0.263759086188993</v>
      </c>
    </row>
    <row r="282" customFormat="false" ht="15" hidden="false" customHeight="false" outlineLevel="0" collapsed="false">
      <c r="A282" s="25" t="s">
        <v>528</v>
      </c>
      <c r="B282" s="25" t="s">
        <v>529</v>
      </c>
      <c r="C282" s="29" t="s">
        <v>203</v>
      </c>
      <c r="D282" s="29" t="n">
        <v>179</v>
      </c>
      <c r="E282" s="31" t="n">
        <v>272080</v>
      </c>
      <c r="F282" s="31" t="n">
        <v>40812</v>
      </c>
      <c r="G282" s="37" t="n">
        <v>0.15</v>
      </c>
    </row>
    <row r="283" customFormat="false" ht="15" hidden="false" customHeight="false" outlineLevel="0" collapsed="false">
      <c r="A283" s="20" t="s">
        <v>530</v>
      </c>
      <c r="B283" s="20" t="s">
        <v>220</v>
      </c>
      <c r="C283" s="9" t="s">
        <v>217</v>
      </c>
      <c r="D283" s="9" t="n">
        <v>10</v>
      </c>
      <c r="E283" s="30" t="n">
        <v>268740</v>
      </c>
      <c r="F283" s="30" t="n">
        <v>44920</v>
      </c>
      <c r="G283" s="35" t="n">
        <v>0.167150405596487</v>
      </c>
    </row>
    <row r="284" customFormat="false" ht="15" hidden="false" customHeight="false" outlineLevel="0" collapsed="false">
      <c r="A284" s="25" t="s">
        <v>531</v>
      </c>
      <c r="B284" s="25" t="s">
        <v>220</v>
      </c>
      <c r="C284" s="29" t="s">
        <v>217</v>
      </c>
      <c r="D284" s="29" t="n">
        <v>36</v>
      </c>
      <c r="E284" s="31" t="n">
        <v>267660</v>
      </c>
      <c r="F284" s="31" t="n">
        <v>158184</v>
      </c>
      <c r="G284" s="37" t="n">
        <v>0.590988567585743</v>
      </c>
    </row>
    <row r="285" customFormat="false" ht="15" hidden="false" customHeight="false" outlineLevel="0" collapsed="false">
      <c r="A285" s="20" t="s">
        <v>532</v>
      </c>
      <c r="B285" s="20" t="s">
        <v>194</v>
      </c>
      <c r="C285" s="9" t="s">
        <v>197</v>
      </c>
      <c r="D285" s="9" t="n">
        <v>54</v>
      </c>
      <c r="E285" s="30" t="n">
        <v>266652</v>
      </c>
      <c r="F285" s="30" t="n">
        <v>77652</v>
      </c>
      <c r="G285" s="35" t="n">
        <v>0.291211016605913</v>
      </c>
    </row>
    <row r="286" customFormat="false" ht="15" hidden="false" customHeight="false" outlineLevel="0" collapsed="false">
      <c r="A286" s="25" t="s">
        <v>533</v>
      </c>
      <c r="B286" s="25" t="s">
        <v>240</v>
      </c>
      <c r="C286" s="29" t="s">
        <v>223</v>
      </c>
      <c r="D286" s="29" t="n">
        <v>3</v>
      </c>
      <c r="E286" s="31" t="n">
        <v>266097</v>
      </c>
      <c r="F286" s="31" t="n">
        <v>-110658</v>
      </c>
      <c r="G286" s="37" t="n">
        <v>-0.415855872106788</v>
      </c>
    </row>
    <row r="287" customFormat="false" ht="15" hidden="false" customHeight="false" outlineLevel="0" collapsed="false">
      <c r="A287" s="20" t="s">
        <v>534</v>
      </c>
      <c r="B287" s="20" t="s">
        <v>194</v>
      </c>
      <c r="C287" s="9" t="s">
        <v>223</v>
      </c>
      <c r="D287" s="9" t="n">
        <v>2750</v>
      </c>
      <c r="E287" s="30" t="n">
        <v>264300</v>
      </c>
      <c r="F287" s="30" t="n">
        <v>209300</v>
      </c>
      <c r="G287" s="35" t="n">
        <v>0.791903140370791</v>
      </c>
    </row>
    <row r="288" customFormat="false" ht="15" hidden="false" customHeight="false" outlineLevel="0" collapsed="false">
      <c r="A288" s="25" t="s">
        <v>535</v>
      </c>
      <c r="B288" s="25" t="s">
        <v>194</v>
      </c>
      <c r="C288" s="29" t="s">
        <v>206</v>
      </c>
      <c r="D288" s="29" t="n">
        <v>59</v>
      </c>
      <c r="E288" s="31" t="n">
        <v>263553</v>
      </c>
      <c r="F288" s="31" t="n">
        <v>23836</v>
      </c>
      <c r="G288" s="37" t="n">
        <v>0.0904410118647862</v>
      </c>
    </row>
    <row r="289" customFormat="false" ht="15" hidden="false" customHeight="false" outlineLevel="0" collapsed="false">
      <c r="A289" s="20" t="s">
        <v>536</v>
      </c>
      <c r="B289" s="20" t="s">
        <v>194</v>
      </c>
      <c r="C289" s="9" t="s">
        <v>386</v>
      </c>
      <c r="D289" s="9" t="n">
        <v>34</v>
      </c>
      <c r="E289" s="30" t="n">
        <v>263330</v>
      </c>
      <c r="F289" s="30" t="n">
        <v>93194</v>
      </c>
      <c r="G289" s="35" t="n">
        <v>0.35390574564235</v>
      </c>
    </row>
    <row r="290" customFormat="false" ht="15" hidden="false" customHeight="false" outlineLevel="0" collapsed="false">
      <c r="A290" s="25" t="s">
        <v>537</v>
      </c>
      <c r="B290" s="25" t="s">
        <v>194</v>
      </c>
      <c r="C290" s="29" t="s">
        <v>203</v>
      </c>
      <c r="D290" s="29" t="n">
        <v>67</v>
      </c>
      <c r="E290" s="31" t="n">
        <v>262171</v>
      </c>
      <c r="F290" s="31" t="n">
        <v>82946</v>
      </c>
      <c r="G290" s="37" t="n">
        <v>0.316381293125479</v>
      </c>
    </row>
    <row r="291" customFormat="false" ht="15" hidden="false" customHeight="false" outlineLevel="0" collapsed="false">
      <c r="A291" s="20" t="s">
        <v>538</v>
      </c>
      <c r="B291" s="20" t="s">
        <v>194</v>
      </c>
      <c r="C291" s="9" t="s">
        <v>203</v>
      </c>
      <c r="D291" s="9" t="n">
        <v>15</v>
      </c>
      <c r="E291" s="30" t="n">
        <v>261615</v>
      </c>
      <c r="F291" s="30" t="n">
        <v>122025</v>
      </c>
      <c r="G291" s="35" t="n">
        <v>0.466429677197408</v>
      </c>
    </row>
    <row r="292" customFormat="false" ht="15" hidden="false" customHeight="false" outlineLevel="0" collapsed="false">
      <c r="A292" s="25" t="s">
        <v>539</v>
      </c>
      <c r="B292" s="25" t="s">
        <v>194</v>
      </c>
      <c r="C292" s="29" t="s">
        <v>203</v>
      </c>
      <c r="D292" s="29" t="n">
        <v>42</v>
      </c>
      <c r="E292" s="31" t="n">
        <v>259476</v>
      </c>
      <c r="F292" s="31" t="n">
        <v>124824</v>
      </c>
      <c r="G292" s="37" t="n">
        <v>0.48106183230819</v>
      </c>
    </row>
    <row r="293" customFormat="false" ht="15" hidden="false" customHeight="false" outlineLevel="0" collapsed="false">
      <c r="A293" s="20" t="s">
        <v>540</v>
      </c>
      <c r="B293" s="20" t="s">
        <v>194</v>
      </c>
      <c r="C293" s="9" t="s">
        <v>231</v>
      </c>
      <c r="D293" s="9" t="n">
        <v>70</v>
      </c>
      <c r="E293" s="30" t="n">
        <v>258900</v>
      </c>
      <c r="F293" s="30" t="n">
        <v>76060</v>
      </c>
      <c r="G293" s="35" t="n">
        <v>0.293781382773272</v>
      </c>
    </row>
    <row r="294" customFormat="false" ht="15" hidden="false" customHeight="false" outlineLevel="0" collapsed="false">
      <c r="A294" s="25" t="s">
        <v>541</v>
      </c>
      <c r="B294" s="25" t="s">
        <v>200</v>
      </c>
      <c r="C294" s="29" t="s">
        <v>223</v>
      </c>
      <c r="D294" s="29" t="n">
        <v>5</v>
      </c>
      <c r="E294" s="31" t="n">
        <v>257165</v>
      </c>
      <c r="F294" s="31" t="n">
        <v>58990</v>
      </c>
      <c r="G294" s="37" t="n">
        <v>0.229385802889196</v>
      </c>
    </row>
    <row r="295" customFormat="false" ht="15" hidden="false" customHeight="false" outlineLevel="0" collapsed="false">
      <c r="A295" s="20" t="s">
        <v>542</v>
      </c>
      <c r="B295" s="20" t="s">
        <v>200</v>
      </c>
      <c r="C295" s="9" t="s">
        <v>201</v>
      </c>
      <c r="D295" s="9" t="n">
        <v>14</v>
      </c>
      <c r="E295" s="30" t="n">
        <v>256802</v>
      </c>
      <c r="F295" s="30" t="n">
        <v>101220</v>
      </c>
      <c r="G295" s="35" t="n">
        <v>0.394155808755384</v>
      </c>
    </row>
    <row r="296" customFormat="false" ht="15" hidden="false" customHeight="false" outlineLevel="0" collapsed="false">
      <c r="A296" s="25" t="s">
        <v>543</v>
      </c>
      <c r="B296" s="25" t="s">
        <v>194</v>
      </c>
      <c r="C296" s="29" t="s">
        <v>203</v>
      </c>
      <c r="D296" s="29" t="n">
        <v>49</v>
      </c>
      <c r="E296" s="31" t="n">
        <v>256711</v>
      </c>
      <c r="F296" s="31" t="n">
        <v>131516</v>
      </c>
      <c r="G296" s="37" t="n">
        <v>0.51231150983012</v>
      </c>
    </row>
    <row r="297" customFormat="false" ht="15" hidden="false" customHeight="false" outlineLevel="0" collapsed="false">
      <c r="A297" s="20" t="s">
        <v>544</v>
      </c>
      <c r="B297" s="20" t="s">
        <v>194</v>
      </c>
      <c r="C297" s="9" t="s">
        <v>430</v>
      </c>
      <c r="D297" s="9" t="n">
        <v>2</v>
      </c>
      <c r="E297" s="30" t="n">
        <v>255976</v>
      </c>
      <c r="F297" s="30" t="n">
        <v>68380</v>
      </c>
      <c r="G297" s="35" t="n">
        <v>0.267134418851767</v>
      </c>
    </row>
    <row r="298" customFormat="false" ht="15" hidden="false" customHeight="false" outlineLevel="0" collapsed="false">
      <c r="A298" s="25" t="s">
        <v>545</v>
      </c>
      <c r="B298" s="25" t="s">
        <v>220</v>
      </c>
      <c r="C298" s="29" t="s">
        <v>217</v>
      </c>
      <c r="D298" s="29" t="n">
        <v>6</v>
      </c>
      <c r="E298" s="31" t="n">
        <v>255720</v>
      </c>
      <c r="F298" s="31" t="n">
        <v>62406</v>
      </c>
      <c r="G298" s="37" t="n">
        <v>0.244040356640075</v>
      </c>
    </row>
    <row r="299" customFormat="false" ht="15" hidden="false" customHeight="false" outlineLevel="0" collapsed="false">
      <c r="A299" s="20" t="s">
        <v>546</v>
      </c>
      <c r="B299" s="20" t="s">
        <v>547</v>
      </c>
      <c r="C299" s="9" t="s">
        <v>355</v>
      </c>
      <c r="D299" s="9" t="n">
        <v>7</v>
      </c>
      <c r="E299" s="30" t="n">
        <v>249312</v>
      </c>
      <c r="F299" s="30" t="n">
        <v>1169</v>
      </c>
      <c r="G299" s="35" t="n">
        <v>0.0046889038634321</v>
      </c>
    </row>
    <row r="300" customFormat="false" ht="15" hidden="false" customHeight="false" outlineLevel="0" collapsed="false">
      <c r="A300" s="25" t="s">
        <v>548</v>
      </c>
      <c r="B300" s="25" t="s">
        <v>194</v>
      </c>
      <c r="C300" s="29" t="s">
        <v>203</v>
      </c>
      <c r="D300" s="29" t="n">
        <v>9</v>
      </c>
      <c r="E300" s="31" t="n">
        <v>249215</v>
      </c>
      <c r="F300" s="31" t="n">
        <v>144086</v>
      </c>
      <c r="G300" s="37" t="n">
        <v>0.578159420580623</v>
      </c>
    </row>
    <row r="301" customFormat="false" ht="15" hidden="false" customHeight="false" outlineLevel="0" collapsed="false">
      <c r="A301" s="20" t="s">
        <v>549</v>
      </c>
      <c r="B301" s="20" t="s">
        <v>194</v>
      </c>
      <c r="C301" s="9" t="s">
        <v>334</v>
      </c>
      <c r="D301" s="9" t="n">
        <v>10</v>
      </c>
      <c r="E301" s="30" t="n">
        <v>247870</v>
      </c>
      <c r="F301" s="30" t="n">
        <v>54530</v>
      </c>
      <c r="G301" s="35" t="n">
        <v>0.219994351878001</v>
      </c>
    </row>
    <row r="302" customFormat="false" ht="15" hidden="false" customHeight="false" outlineLevel="0" collapsed="false">
      <c r="A302" s="25" t="s">
        <v>550</v>
      </c>
      <c r="B302" s="25" t="s">
        <v>240</v>
      </c>
      <c r="C302" s="29" t="s">
        <v>223</v>
      </c>
      <c r="D302" s="29" t="n">
        <v>6</v>
      </c>
      <c r="E302" s="31" t="n">
        <v>247062</v>
      </c>
      <c r="F302" s="31" t="n">
        <v>26646</v>
      </c>
      <c r="G302" s="37" t="n">
        <v>0.107851470481094</v>
      </c>
    </row>
    <row r="303" customFormat="false" ht="15" hidden="false" customHeight="false" outlineLevel="0" collapsed="false">
      <c r="A303" s="20" t="s">
        <v>551</v>
      </c>
      <c r="B303" s="20" t="s">
        <v>194</v>
      </c>
      <c r="C303" s="9" t="s">
        <v>206</v>
      </c>
      <c r="D303" s="9" t="n">
        <v>32</v>
      </c>
      <c r="E303" s="30" t="n">
        <v>246912</v>
      </c>
      <c r="F303" s="30" t="n">
        <v>7296</v>
      </c>
      <c r="G303" s="35" t="n">
        <v>0.0295489891135303</v>
      </c>
    </row>
    <row r="304" customFormat="false" ht="15" hidden="false" customHeight="false" outlineLevel="0" collapsed="false">
      <c r="A304" s="25" t="s">
        <v>552</v>
      </c>
      <c r="B304" s="25" t="s">
        <v>194</v>
      </c>
      <c r="C304" s="29" t="s">
        <v>203</v>
      </c>
      <c r="D304" s="29" t="n">
        <v>3</v>
      </c>
      <c r="E304" s="31" t="n">
        <v>246573</v>
      </c>
      <c r="F304" s="31" t="n">
        <v>90300</v>
      </c>
      <c r="G304" s="37" t="n">
        <v>0.366220145758051</v>
      </c>
    </row>
    <row r="305" customFormat="false" ht="15" hidden="false" customHeight="false" outlineLevel="0" collapsed="false">
      <c r="A305" s="20" t="s">
        <v>553</v>
      </c>
      <c r="B305" s="20" t="s">
        <v>240</v>
      </c>
      <c r="C305" s="9" t="s">
        <v>368</v>
      </c>
      <c r="D305" s="9" t="n">
        <v>9</v>
      </c>
      <c r="E305" s="30" t="n">
        <v>246555</v>
      </c>
      <c r="F305" s="30" t="n">
        <v>31707</v>
      </c>
      <c r="G305" s="35" t="n">
        <v>0.128600109509035</v>
      </c>
    </row>
    <row r="306" customFormat="false" ht="15" hidden="false" customHeight="false" outlineLevel="0" collapsed="false">
      <c r="A306" s="25" t="s">
        <v>554</v>
      </c>
      <c r="B306" s="25" t="s">
        <v>194</v>
      </c>
      <c r="C306" s="29" t="s">
        <v>223</v>
      </c>
      <c r="D306" s="29" t="n">
        <v>5</v>
      </c>
      <c r="E306" s="31" t="n">
        <v>246320</v>
      </c>
      <c r="F306" s="31" t="n">
        <v>53715</v>
      </c>
      <c r="G306" s="37" t="n">
        <v>0.218069990256577</v>
      </c>
    </row>
    <row r="307" customFormat="false" ht="15" hidden="false" customHeight="false" outlineLevel="0" collapsed="false">
      <c r="A307" s="20" t="s">
        <v>555</v>
      </c>
      <c r="B307" s="9" t="s">
        <v>281</v>
      </c>
      <c r="C307" s="9" t="s">
        <v>197</v>
      </c>
      <c r="D307" s="9" t="n">
        <v>48</v>
      </c>
      <c r="E307" s="30" t="n">
        <v>246288</v>
      </c>
      <c r="F307" s="30" t="n">
        <v>106368</v>
      </c>
      <c r="G307" s="35" t="n">
        <v>0.43188462288053</v>
      </c>
    </row>
    <row r="308" customFormat="false" ht="15" hidden="false" customHeight="false" outlineLevel="0" collapsed="false">
      <c r="A308" s="25" t="s">
        <v>556</v>
      </c>
      <c r="B308" s="25" t="s">
        <v>194</v>
      </c>
      <c r="C308" s="29" t="s">
        <v>195</v>
      </c>
      <c r="D308" s="29" t="n">
        <v>5</v>
      </c>
      <c r="E308" s="31" t="n">
        <v>245745</v>
      </c>
      <c r="F308" s="31" t="n">
        <v>44655</v>
      </c>
      <c r="G308" s="37" t="n">
        <v>0.181712751022401</v>
      </c>
    </row>
    <row r="309" customFormat="false" ht="15" hidden="false" customHeight="false" outlineLevel="0" collapsed="false">
      <c r="A309" s="20" t="s">
        <v>557</v>
      </c>
      <c r="B309" s="9" t="s">
        <v>253</v>
      </c>
      <c r="C309" s="9" t="s">
        <v>223</v>
      </c>
      <c r="D309" s="9" t="n">
        <v>43</v>
      </c>
      <c r="E309" s="30" t="n">
        <v>245401</v>
      </c>
      <c r="F309" s="30" t="n">
        <v>77443</v>
      </c>
      <c r="G309" s="35" t="n">
        <v>0.315577361135448</v>
      </c>
    </row>
    <row r="310" customFormat="false" ht="15" hidden="false" customHeight="false" outlineLevel="0" collapsed="false">
      <c r="A310" s="25" t="s">
        <v>558</v>
      </c>
      <c r="B310" s="25" t="s">
        <v>194</v>
      </c>
      <c r="C310" s="29" t="s">
        <v>203</v>
      </c>
      <c r="D310" s="29" t="n">
        <v>60</v>
      </c>
      <c r="E310" s="31" t="n">
        <v>244620</v>
      </c>
      <c r="F310" s="31" t="n">
        <v>86760</v>
      </c>
      <c r="G310" s="37" t="n">
        <v>0.35467255334805</v>
      </c>
    </row>
    <row r="311" customFormat="false" ht="15" hidden="false" customHeight="false" outlineLevel="0" collapsed="false">
      <c r="A311" s="20" t="s">
        <v>559</v>
      </c>
      <c r="B311" s="9" t="s">
        <v>253</v>
      </c>
      <c r="C311" s="9" t="s">
        <v>254</v>
      </c>
      <c r="D311" s="9" t="n">
        <v>38</v>
      </c>
      <c r="E311" s="30" t="n">
        <v>243656</v>
      </c>
      <c r="F311" s="30" t="n">
        <v>198208</v>
      </c>
      <c r="G311" s="35" t="n">
        <v>0.813474734872115</v>
      </c>
    </row>
    <row r="312" customFormat="false" ht="15" hidden="false" customHeight="false" outlineLevel="0" collapsed="false">
      <c r="A312" s="25" t="s">
        <v>560</v>
      </c>
      <c r="B312" s="25" t="s">
        <v>194</v>
      </c>
      <c r="C312" s="29" t="s">
        <v>231</v>
      </c>
      <c r="D312" s="29" t="n">
        <v>3</v>
      </c>
      <c r="E312" s="31" t="n">
        <v>242838</v>
      </c>
      <c r="F312" s="31" t="n">
        <v>25947</v>
      </c>
      <c r="G312" s="37" t="n">
        <v>0.106849010451412</v>
      </c>
    </row>
    <row r="313" customFormat="false" ht="15" hidden="false" customHeight="false" outlineLevel="0" collapsed="false">
      <c r="A313" s="20" t="s">
        <v>561</v>
      </c>
      <c r="B313" s="20" t="s">
        <v>194</v>
      </c>
      <c r="C313" s="9" t="s">
        <v>195</v>
      </c>
      <c r="D313" s="9" t="n">
        <v>5</v>
      </c>
      <c r="E313" s="30" t="n">
        <v>241350</v>
      </c>
      <c r="F313" s="30" t="n">
        <v>10600</v>
      </c>
      <c r="G313" s="35" t="n">
        <v>0.0439196188108556</v>
      </c>
    </row>
    <row r="314" customFormat="false" ht="15" hidden="false" customHeight="false" outlineLevel="0" collapsed="false">
      <c r="A314" s="25" t="s">
        <v>562</v>
      </c>
      <c r="B314" s="25" t="s">
        <v>194</v>
      </c>
      <c r="C314" s="29" t="s">
        <v>355</v>
      </c>
      <c r="D314" s="29" t="n">
        <v>8</v>
      </c>
      <c r="E314" s="31" t="n">
        <v>240288</v>
      </c>
      <c r="F314" s="31" t="n">
        <v>24296</v>
      </c>
      <c r="G314" s="37" t="n">
        <v>0.101111998934612</v>
      </c>
    </row>
    <row r="315" customFormat="false" ht="15" hidden="false" customHeight="false" outlineLevel="0" collapsed="false">
      <c r="A315" s="20" t="s">
        <v>563</v>
      </c>
      <c r="B315" s="20" t="s">
        <v>194</v>
      </c>
      <c r="C315" s="9" t="s">
        <v>195</v>
      </c>
      <c r="D315" s="9" t="n">
        <v>3</v>
      </c>
      <c r="E315" s="30" t="n">
        <v>240270</v>
      </c>
      <c r="F315" s="30" t="n">
        <v>170292</v>
      </c>
      <c r="G315" s="35" t="n">
        <v>0.708752653265077</v>
      </c>
    </row>
    <row r="316" customFormat="false" ht="15" hidden="false" customHeight="false" outlineLevel="0" collapsed="false">
      <c r="A316" s="25" t="s">
        <v>564</v>
      </c>
      <c r="B316" s="25" t="s">
        <v>194</v>
      </c>
      <c r="C316" s="29" t="s">
        <v>368</v>
      </c>
      <c r="D316" s="29" t="n">
        <v>3</v>
      </c>
      <c r="E316" s="31" t="n">
        <v>240267</v>
      </c>
      <c r="F316" s="31" t="n">
        <v>105312</v>
      </c>
      <c r="G316" s="37" t="n">
        <v>0.438312377480053</v>
      </c>
    </row>
    <row r="317" customFormat="false" ht="15" hidden="false" customHeight="false" outlineLevel="0" collapsed="false">
      <c r="A317" s="20" t="s">
        <v>565</v>
      </c>
      <c r="B317" s="20" t="s">
        <v>194</v>
      </c>
      <c r="C317" s="9" t="s">
        <v>203</v>
      </c>
      <c r="D317" s="9" t="n">
        <v>4</v>
      </c>
      <c r="E317" s="30" t="n">
        <v>238100</v>
      </c>
      <c r="F317" s="30" t="n">
        <v>46776</v>
      </c>
      <c r="G317" s="35" t="n">
        <v>0.196455270894582</v>
      </c>
    </row>
    <row r="318" customFormat="false" ht="15" hidden="false" customHeight="false" outlineLevel="0" collapsed="false">
      <c r="A318" s="25" t="s">
        <v>566</v>
      </c>
      <c r="B318" s="25" t="s">
        <v>240</v>
      </c>
      <c r="C318" s="29" t="s">
        <v>368</v>
      </c>
      <c r="D318" s="29" t="n">
        <v>58</v>
      </c>
      <c r="E318" s="31" t="n">
        <v>238032</v>
      </c>
      <c r="F318" s="31" t="n">
        <v>188848</v>
      </c>
      <c r="G318" s="37" t="n">
        <v>0.793372319688109</v>
      </c>
    </row>
    <row r="319" customFormat="false" ht="15" hidden="false" customHeight="false" outlineLevel="0" collapsed="false">
      <c r="A319" s="20" t="s">
        <v>567</v>
      </c>
      <c r="B319" s="20" t="s">
        <v>194</v>
      </c>
      <c r="C319" s="9" t="s">
        <v>195</v>
      </c>
      <c r="D319" s="9" t="n">
        <v>4</v>
      </c>
      <c r="E319" s="30" t="n">
        <v>237224</v>
      </c>
      <c r="F319" s="30" t="n">
        <v>47196</v>
      </c>
      <c r="G319" s="35" t="n">
        <v>0.198951202239234</v>
      </c>
    </row>
    <row r="320" customFormat="false" ht="15" hidden="false" customHeight="false" outlineLevel="0" collapsed="false">
      <c r="A320" s="25" t="s">
        <v>568</v>
      </c>
      <c r="B320" s="29" t="s">
        <v>569</v>
      </c>
      <c r="C320" s="29" t="s">
        <v>229</v>
      </c>
      <c r="D320" s="29" t="n">
        <v>26</v>
      </c>
      <c r="E320" s="31" t="n">
        <v>236288</v>
      </c>
      <c r="F320" s="31" t="n">
        <v>-9230</v>
      </c>
      <c r="G320" s="37" t="n">
        <v>-0.0390625</v>
      </c>
    </row>
    <row r="321" customFormat="false" ht="15" hidden="false" customHeight="false" outlineLevel="0" collapsed="false">
      <c r="A321" s="20" t="s">
        <v>570</v>
      </c>
      <c r="B321" s="20" t="s">
        <v>194</v>
      </c>
      <c r="C321" s="9" t="s">
        <v>203</v>
      </c>
      <c r="D321" s="9" t="n">
        <v>9</v>
      </c>
      <c r="E321" s="30" t="n">
        <v>236223</v>
      </c>
      <c r="F321" s="30" t="n">
        <v>105237</v>
      </c>
      <c r="G321" s="35" t="n">
        <v>0.445498533165695</v>
      </c>
    </row>
    <row r="322" customFormat="false" ht="15" hidden="false" customHeight="false" outlineLevel="0" collapsed="false">
      <c r="A322" s="25" t="s">
        <v>571</v>
      </c>
      <c r="B322" s="25" t="s">
        <v>194</v>
      </c>
      <c r="C322" s="29" t="s">
        <v>386</v>
      </c>
      <c r="D322" s="29" t="n">
        <v>16</v>
      </c>
      <c r="E322" s="31" t="n">
        <v>236192</v>
      </c>
      <c r="F322" s="31" t="n">
        <v>70896</v>
      </c>
      <c r="G322" s="37" t="n">
        <v>0.300162579596261</v>
      </c>
    </row>
    <row r="323" customFormat="false" ht="15" hidden="false" customHeight="false" outlineLevel="0" collapsed="false">
      <c r="A323" s="20" t="s">
        <v>572</v>
      </c>
      <c r="B323" s="20" t="s">
        <v>194</v>
      </c>
      <c r="C323" s="9" t="s">
        <v>297</v>
      </c>
      <c r="D323" s="9" t="n">
        <v>25</v>
      </c>
      <c r="E323" s="30" t="n">
        <v>236050</v>
      </c>
      <c r="F323" s="30" t="n">
        <v>86175</v>
      </c>
      <c r="G323" s="35" t="n">
        <v>0.36507095954247</v>
      </c>
    </row>
    <row r="324" customFormat="false" ht="15" hidden="false" customHeight="false" outlineLevel="0" collapsed="false">
      <c r="A324" s="25" t="s">
        <v>573</v>
      </c>
      <c r="B324" s="25" t="s">
        <v>194</v>
      </c>
      <c r="C324" s="29" t="s">
        <v>412</v>
      </c>
      <c r="D324" s="29" t="n">
        <v>30</v>
      </c>
      <c r="E324" s="31" t="n">
        <v>235830</v>
      </c>
      <c r="F324" s="31" t="n">
        <v>159390</v>
      </c>
      <c r="G324" s="37" t="n">
        <v>0.67586821015138</v>
      </c>
    </row>
    <row r="325" customFormat="false" ht="15" hidden="false" customHeight="false" outlineLevel="0" collapsed="false">
      <c r="A325" s="20" t="s">
        <v>574</v>
      </c>
      <c r="B325" s="20" t="s">
        <v>194</v>
      </c>
      <c r="C325" s="9" t="s">
        <v>206</v>
      </c>
      <c r="D325" s="9" t="n">
        <v>70</v>
      </c>
      <c r="E325" s="30" t="n">
        <v>234570</v>
      </c>
      <c r="F325" s="30" t="n">
        <v>17080</v>
      </c>
      <c r="G325" s="35" t="n">
        <v>0.0728140853476574</v>
      </c>
    </row>
    <row r="326" customFormat="false" ht="15" hidden="false" customHeight="false" outlineLevel="0" collapsed="false">
      <c r="A326" s="25" t="s">
        <v>575</v>
      </c>
      <c r="B326" s="29" t="s">
        <v>216</v>
      </c>
      <c r="C326" s="29" t="s">
        <v>428</v>
      </c>
      <c r="D326" s="29" t="n">
        <v>2</v>
      </c>
      <c r="E326" s="31" t="n">
        <v>234472</v>
      </c>
      <c r="F326" s="31" t="n">
        <v>35171</v>
      </c>
      <c r="G326" s="37" t="n">
        <v>0.150000852980313</v>
      </c>
    </row>
    <row r="327" customFormat="false" ht="15" hidden="false" customHeight="false" outlineLevel="0" collapsed="false">
      <c r="A327" s="20" t="s">
        <v>576</v>
      </c>
      <c r="B327" s="20" t="s">
        <v>194</v>
      </c>
      <c r="C327" s="9" t="s">
        <v>203</v>
      </c>
      <c r="D327" s="9" t="n">
        <v>41</v>
      </c>
      <c r="E327" s="30" t="n">
        <v>233454</v>
      </c>
      <c r="F327" s="30" t="n">
        <v>130708</v>
      </c>
      <c r="G327" s="35" t="n">
        <v>0.559887600983491</v>
      </c>
    </row>
    <row r="328" customFormat="false" ht="15" hidden="false" customHeight="false" outlineLevel="0" collapsed="false">
      <c r="A328" s="25" t="s">
        <v>577</v>
      </c>
      <c r="B328" s="25" t="s">
        <v>194</v>
      </c>
      <c r="C328" s="29" t="s">
        <v>206</v>
      </c>
      <c r="D328" s="29" t="n">
        <v>16</v>
      </c>
      <c r="E328" s="31" t="n">
        <v>230880</v>
      </c>
      <c r="F328" s="31" t="n">
        <v>49808</v>
      </c>
      <c r="G328" s="37" t="n">
        <v>0.215731115731116</v>
      </c>
    </row>
    <row r="329" customFormat="false" ht="15" hidden="false" customHeight="false" outlineLevel="0" collapsed="false">
      <c r="A329" s="20" t="s">
        <v>578</v>
      </c>
      <c r="B329" s="20" t="s">
        <v>194</v>
      </c>
      <c r="C329" s="9" t="s">
        <v>217</v>
      </c>
      <c r="D329" s="9" t="n">
        <v>7</v>
      </c>
      <c r="E329" s="30" t="n">
        <v>230195</v>
      </c>
      <c r="F329" s="30" t="n">
        <v>52269</v>
      </c>
      <c r="G329" s="35" t="n">
        <v>0.22706401094724</v>
      </c>
    </row>
    <row r="330" customFormat="false" ht="15" hidden="false" customHeight="false" outlineLevel="0" collapsed="false">
      <c r="A330" s="25" t="s">
        <v>579</v>
      </c>
      <c r="B330" s="25" t="s">
        <v>194</v>
      </c>
      <c r="C330" s="29" t="s">
        <v>203</v>
      </c>
      <c r="D330" s="29" t="n">
        <v>66</v>
      </c>
      <c r="E330" s="31" t="n">
        <v>229913</v>
      </c>
      <c r="F330" s="31" t="n">
        <v>107747</v>
      </c>
      <c r="G330" s="37" t="n">
        <v>0.468642486505765</v>
      </c>
    </row>
    <row r="331" customFormat="false" ht="15" hidden="false" customHeight="false" outlineLevel="0" collapsed="false">
      <c r="A331" s="20" t="s">
        <v>580</v>
      </c>
      <c r="B331" s="20" t="s">
        <v>220</v>
      </c>
      <c r="C331" s="9" t="s">
        <v>217</v>
      </c>
      <c r="D331" s="9" t="n">
        <v>3</v>
      </c>
      <c r="E331" s="30" t="n">
        <v>228420</v>
      </c>
      <c r="F331" s="30" t="n">
        <v>55419</v>
      </c>
      <c r="G331" s="35" t="n">
        <v>0.242618859994747</v>
      </c>
    </row>
    <row r="332" customFormat="false" ht="15" hidden="false" customHeight="false" outlineLevel="0" collapsed="false">
      <c r="A332" s="25" t="s">
        <v>581</v>
      </c>
      <c r="B332" s="25" t="s">
        <v>194</v>
      </c>
      <c r="C332" s="29" t="s">
        <v>203</v>
      </c>
      <c r="D332" s="29" t="n">
        <v>12</v>
      </c>
      <c r="E332" s="31" t="n">
        <v>228364</v>
      </c>
      <c r="F332" s="31" t="n">
        <v>54952</v>
      </c>
      <c r="G332" s="37" t="n">
        <v>0.24063337478762</v>
      </c>
    </row>
    <row r="333" customFormat="false" ht="15" hidden="false" customHeight="false" outlineLevel="0" collapsed="false">
      <c r="A333" s="20" t="s">
        <v>582</v>
      </c>
      <c r="B333" s="20" t="s">
        <v>194</v>
      </c>
      <c r="C333" s="9" t="s">
        <v>203</v>
      </c>
      <c r="D333" s="9" t="n">
        <v>263</v>
      </c>
      <c r="E333" s="30" t="n">
        <v>227495</v>
      </c>
      <c r="F333" s="30" t="n">
        <v>64435</v>
      </c>
      <c r="G333" s="35" t="n">
        <v>0.283236994219653</v>
      </c>
    </row>
    <row r="334" customFormat="false" ht="15" hidden="false" customHeight="false" outlineLevel="0" collapsed="false">
      <c r="A334" s="25" t="s">
        <v>583</v>
      </c>
      <c r="B334" s="29" t="s">
        <v>253</v>
      </c>
      <c r="C334" s="29" t="s">
        <v>254</v>
      </c>
      <c r="D334" s="29" t="n">
        <v>38</v>
      </c>
      <c r="E334" s="31" t="n">
        <v>227240</v>
      </c>
      <c r="F334" s="31" t="n">
        <v>111492</v>
      </c>
      <c r="G334" s="37" t="n">
        <v>0.490635451505017</v>
      </c>
    </row>
    <row r="335" customFormat="false" ht="15" hidden="false" customHeight="false" outlineLevel="0" collapsed="false">
      <c r="A335" s="20" t="s">
        <v>584</v>
      </c>
      <c r="B335" s="20" t="s">
        <v>194</v>
      </c>
      <c r="C335" s="9" t="s">
        <v>334</v>
      </c>
      <c r="D335" s="9" t="n">
        <v>14</v>
      </c>
      <c r="E335" s="30" t="n">
        <v>226104</v>
      </c>
      <c r="F335" s="30" t="n">
        <v>49970</v>
      </c>
      <c r="G335" s="35" t="n">
        <v>0.221004493507413</v>
      </c>
    </row>
    <row r="336" customFormat="false" ht="15" hidden="false" customHeight="false" outlineLevel="0" collapsed="false">
      <c r="A336" s="25" t="s">
        <v>585</v>
      </c>
      <c r="B336" s="25" t="s">
        <v>194</v>
      </c>
      <c r="C336" s="29" t="s">
        <v>203</v>
      </c>
      <c r="D336" s="29" t="n">
        <v>31</v>
      </c>
      <c r="E336" s="31" t="n">
        <v>223882</v>
      </c>
      <c r="F336" s="31" t="n">
        <v>78678</v>
      </c>
      <c r="G336" s="37" t="n">
        <v>0.351426197729161</v>
      </c>
    </row>
    <row r="337" customFormat="false" ht="15" hidden="false" customHeight="false" outlineLevel="0" collapsed="false">
      <c r="A337" s="20" t="s">
        <v>586</v>
      </c>
      <c r="B337" s="20" t="s">
        <v>194</v>
      </c>
      <c r="C337" s="9" t="s">
        <v>203</v>
      </c>
      <c r="D337" s="9" t="n">
        <v>8</v>
      </c>
      <c r="E337" s="30" t="n">
        <v>223280</v>
      </c>
      <c r="F337" s="30" t="n">
        <v>25184</v>
      </c>
      <c r="G337" s="35" t="n">
        <v>0.112791114295951</v>
      </c>
    </row>
    <row r="338" customFormat="false" ht="15" hidden="false" customHeight="false" outlineLevel="0" collapsed="false">
      <c r="A338" s="25" t="s">
        <v>587</v>
      </c>
      <c r="B338" s="25" t="s">
        <v>194</v>
      </c>
      <c r="C338" s="29" t="s">
        <v>203</v>
      </c>
      <c r="D338" s="29" t="n">
        <v>63</v>
      </c>
      <c r="E338" s="31" t="n">
        <v>223072</v>
      </c>
      <c r="F338" s="31" t="n">
        <v>81133</v>
      </c>
      <c r="G338" s="37" t="n">
        <v>0.363707681824702</v>
      </c>
    </row>
    <row r="339" customFormat="false" ht="15" hidden="false" customHeight="false" outlineLevel="0" collapsed="false">
      <c r="A339" s="20" t="s">
        <v>588</v>
      </c>
      <c r="B339" s="20" t="s">
        <v>194</v>
      </c>
      <c r="C339" s="9" t="s">
        <v>203</v>
      </c>
      <c r="D339" s="9" t="n">
        <v>55</v>
      </c>
      <c r="E339" s="30" t="n">
        <v>222860</v>
      </c>
      <c r="F339" s="30" t="n">
        <v>43450</v>
      </c>
      <c r="G339" s="35" t="n">
        <v>0.194965449160908</v>
      </c>
    </row>
    <row r="340" customFormat="false" ht="15" hidden="false" customHeight="false" outlineLevel="0" collapsed="false">
      <c r="A340" s="25" t="s">
        <v>589</v>
      </c>
      <c r="B340" s="25" t="s">
        <v>220</v>
      </c>
      <c r="C340" s="29" t="s">
        <v>217</v>
      </c>
      <c r="D340" s="29" t="n">
        <v>8</v>
      </c>
      <c r="E340" s="31" t="n">
        <v>221920</v>
      </c>
      <c r="F340" s="31" t="n">
        <v>32256</v>
      </c>
      <c r="G340" s="37" t="n">
        <v>0.14534967555876</v>
      </c>
    </row>
    <row r="341" customFormat="false" ht="15" hidden="false" customHeight="false" outlineLevel="0" collapsed="false">
      <c r="A341" s="20" t="s">
        <v>590</v>
      </c>
      <c r="B341" s="9" t="s">
        <v>216</v>
      </c>
      <c r="C341" s="9" t="s">
        <v>428</v>
      </c>
      <c r="D341" s="9" t="n">
        <v>160</v>
      </c>
      <c r="E341" s="30" t="n">
        <v>221600</v>
      </c>
      <c r="F341" s="30" t="n">
        <v>80800</v>
      </c>
      <c r="G341" s="35" t="n">
        <v>0.364620938628159</v>
      </c>
    </row>
    <row r="342" customFormat="false" ht="15" hidden="false" customHeight="false" outlineLevel="0" collapsed="false">
      <c r="A342" s="25" t="s">
        <v>591</v>
      </c>
      <c r="B342" s="25" t="s">
        <v>194</v>
      </c>
      <c r="C342" s="29" t="s">
        <v>258</v>
      </c>
      <c r="D342" s="29" t="n">
        <v>12</v>
      </c>
      <c r="E342" s="31" t="n">
        <v>218316</v>
      </c>
      <c r="F342" s="31" t="n">
        <v>-492</v>
      </c>
      <c r="G342" s="37" t="n">
        <v>-0.0022536140273731</v>
      </c>
    </row>
    <row r="343" customFormat="false" ht="15" hidden="false" customHeight="false" outlineLevel="0" collapsed="false">
      <c r="A343" s="20" t="s">
        <v>592</v>
      </c>
      <c r="B343" s="20" t="s">
        <v>194</v>
      </c>
      <c r="C343" s="9" t="s">
        <v>206</v>
      </c>
      <c r="D343" s="9" t="n">
        <v>292</v>
      </c>
      <c r="E343" s="30" t="n">
        <v>217248</v>
      </c>
      <c r="F343" s="30" t="n">
        <v>-54020</v>
      </c>
      <c r="G343" s="35" t="n">
        <v>-0.248655913978495</v>
      </c>
    </row>
    <row r="344" customFormat="false" ht="15" hidden="false" customHeight="false" outlineLevel="0" collapsed="false">
      <c r="A344" s="25" t="s">
        <v>593</v>
      </c>
      <c r="B344" s="25" t="s">
        <v>194</v>
      </c>
      <c r="C344" s="29" t="s">
        <v>223</v>
      </c>
      <c r="D344" s="29" t="n">
        <v>5</v>
      </c>
      <c r="E344" s="31" t="n">
        <v>211445</v>
      </c>
      <c r="F344" s="31" t="n">
        <v>83500</v>
      </c>
      <c r="G344" s="37" t="n">
        <v>0.39490174749935</v>
      </c>
    </row>
    <row r="345" customFormat="false" ht="15" hidden="false" customHeight="false" outlineLevel="0" collapsed="false">
      <c r="A345" s="20" t="s">
        <v>594</v>
      </c>
      <c r="B345" s="9" t="s">
        <v>281</v>
      </c>
      <c r="C345" s="9" t="s">
        <v>197</v>
      </c>
      <c r="D345" s="9" t="n">
        <v>103</v>
      </c>
      <c r="E345" s="30" t="n">
        <v>211253</v>
      </c>
      <c r="F345" s="30" t="n">
        <v>84666</v>
      </c>
      <c r="G345" s="35" t="n">
        <v>0.400780107264749</v>
      </c>
    </row>
    <row r="346" customFormat="false" ht="15" hidden="false" customHeight="false" outlineLevel="0" collapsed="false">
      <c r="A346" s="25" t="s">
        <v>595</v>
      </c>
      <c r="B346" s="25" t="s">
        <v>194</v>
      </c>
      <c r="C346" s="29" t="s">
        <v>229</v>
      </c>
      <c r="D346" s="29" t="n">
        <v>160</v>
      </c>
      <c r="E346" s="31" t="n">
        <v>211200</v>
      </c>
      <c r="F346" s="31" t="n">
        <v>58080</v>
      </c>
      <c r="G346" s="37" t="n">
        <v>0.275</v>
      </c>
    </row>
    <row r="347" customFormat="false" ht="15" hidden="false" customHeight="false" outlineLevel="0" collapsed="false">
      <c r="A347" s="20" t="s">
        <v>596</v>
      </c>
      <c r="B347" s="20" t="s">
        <v>200</v>
      </c>
      <c r="C347" s="9" t="s">
        <v>258</v>
      </c>
      <c r="D347" s="9" t="n">
        <v>90</v>
      </c>
      <c r="E347" s="30" t="n">
        <v>211050</v>
      </c>
      <c r="F347" s="30" t="n">
        <v>31653</v>
      </c>
      <c r="G347" s="35" t="n">
        <v>0.14997867803838</v>
      </c>
    </row>
    <row r="348" customFormat="false" ht="15" hidden="false" customHeight="false" outlineLevel="0" collapsed="false">
      <c r="A348" s="25" t="s">
        <v>597</v>
      </c>
      <c r="B348" s="25" t="s">
        <v>220</v>
      </c>
      <c r="C348" s="29" t="s">
        <v>217</v>
      </c>
      <c r="D348" s="29" t="n">
        <v>3</v>
      </c>
      <c r="E348" s="31" t="n">
        <v>210666</v>
      </c>
      <c r="F348" s="31" t="n">
        <v>64143</v>
      </c>
      <c r="G348" s="37" t="n">
        <v>0.304477229358321</v>
      </c>
    </row>
    <row r="349" customFormat="false" ht="15" hidden="false" customHeight="false" outlineLevel="0" collapsed="false">
      <c r="A349" s="20" t="s">
        <v>598</v>
      </c>
      <c r="B349" s="20" t="s">
        <v>194</v>
      </c>
      <c r="C349" s="9" t="s">
        <v>195</v>
      </c>
      <c r="D349" s="9" t="n">
        <v>25</v>
      </c>
      <c r="E349" s="30" t="n">
        <v>210150</v>
      </c>
      <c r="F349" s="30" t="n">
        <v>67900</v>
      </c>
      <c r="G349" s="35" t="n">
        <v>0.323102545800619</v>
      </c>
    </row>
    <row r="350" customFormat="false" ht="15" hidden="false" customHeight="false" outlineLevel="0" collapsed="false">
      <c r="A350" s="25" t="s">
        <v>599</v>
      </c>
      <c r="B350" s="25" t="s">
        <v>194</v>
      </c>
      <c r="C350" s="29" t="s">
        <v>203</v>
      </c>
      <c r="D350" s="29" t="n">
        <v>46</v>
      </c>
      <c r="E350" s="31" t="n">
        <v>208840</v>
      </c>
      <c r="F350" s="31" t="n">
        <v>104558</v>
      </c>
      <c r="G350" s="37" t="n">
        <v>0.500660792951542</v>
      </c>
    </row>
    <row r="351" customFormat="false" ht="15" hidden="false" customHeight="false" outlineLevel="0" collapsed="false">
      <c r="A351" s="20" t="s">
        <v>600</v>
      </c>
      <c r="B351" s="9" t="s">
        <v>253</v>
      </c>
      <c r="C351" s="9" t="s">
        <v>254</v>
      </c>
      <c r="D351" s="9" t="n">
        <v>30</v>
      </c>
      <c r="E351" s="30" t="n">
        <v>208170</v>
      </c>
      <c r="F351" s="30" t="n">
        <v>178260</v>
      </c>
      <c r="G351" s="35" t="n">
        <v>0.856319354373829</v>
      </c>
    </row>
    <row r="352" customFormat="false" ht="15" hidden="false" customHeight="false" outlineLevel="0" collapsed="false">
      <c r="A352" s="25" t="s">
        <v>601</v>
      </c>
      <c r="B352" s="29" t="s">
        <v>281</v>
      </c>
      <c r="C352" s="29" t="s">
        <v>197</v>
      </c>
      <c r="D352" s="29" t="n">
        <v>311</v>
      </c>
      <c r="E352" s="31" t="n">
        <v>206504</v>
      </c>
      <c r="F352" s="31" t="n">
        <v>55358</v>
      </c>
      <c r="G352" s="37" t="n">
        <v>0.268072289156627</v>
      </c>
    </row>
    <row r="353" customFormat="false" ht="15" hidden="false" customHeight="false" outlineLevel="0" collapsed="false">
      <c r="A353" s="20" t="s">
        <v>602</v>
      </c>
      <c r="B353" s="20" t="s">
        <v>194</v>
      </c>
      <c r="C353" s="9" t="s">
        <v>195</v>
      </c>
      <c r="D353" s="9" t="n">
        <v>4</v>
      </c>
      <c r="E353" s="30" t="n">
        <v>205720</v>
      </c>
      <c r="F353" s="30" t="n">
        <v>44848</v>
      </c>
      <c r="G353" s="35" t="n">
        <v>0.218005055415127</v>
      </c>
    </row>
    <row r="354" customFormat="false" ht="15" hidden="false" customHeight="false" outlineLevel="0" collapsed="false">
      <c r="A354" s="25" t="s">
        <v>603</v>
      </c>
      <c r="B354" s="25" t="s">
        <v>220</v>
      </c>
      <c r="C354" s="29" t="s">
        <v>217</v>
      </c>
      <c r="D354" s="29" t="n">
        <v>55</v>
      </c>
      <c r="E354" s="31" t="n">
        <v>203005</v>
      </c>
      <c r="F354" s="31" t="n">
        <v>19580</v>
      </c>
      <c r="G354" s="37" t="n">
        <v>0.0964508263343267</v>
      </c>
    </row>
    <row r="355" customFormat="false" ht="15" hidden="false" customHeight="false" outlineLevel="0" collapsed="false">
      <c r="A355" s="20" t="s">
        <v>604</v>
      </c>
      <c r="B355" s="20" t="s">
        <v>194</v>
      </c>
      <c r="C355" s="9" t="s">
        <v>203</v>
      </c>
      <c r="D355" s="9" t="n">
        <v>18</v>
      </c>
      <c r="E355" s="30" t="n">
        <v>202230</v>
      </c>
      <c r="F355" s="30" t="n">
        <v>-39114</v>
      </c>
      <c r="G355" s="35" t="n">
        <v>-0.193413440142412</v>
      </c>
    </row>
    <row r="356" customFormat="false" ht="15" hidden="false" customHeight="false" outlineLevel="0" collapsed="false">
      <c r="A356" s="25" t="s">
        <v>605</v>
      </c>
      <c r="B356" s="25" t="s">
        <v>194</v>
      </c>
      <c r="C356" s="29" t="s">
        <v>195</v>
      </c>
      <c r="D356" s="29" t="n">
        <v>36</v>
      </c>
      <c r="E356" s="31" t="n">
        <v>201493</v>
      </c>
      <c r="F356" s="31" t="n">
        <v>67681</v>
      </c>
      <c r="G356" s="37" t="n">
        <v>0.335897524976054</v>
      </c>
    </row>
    <row r="357" customFormat="false" ht="15" hidden="false" customHeight="false" outlineLevel="0" collapsed="false">
      <c r="A357" s="20" t="s">
        <v>606</v>
      </c>
      <c r="B357" s="20" t="s">
        <v>240</v>
      </c>
      <c r="C357" s="9" t="s">
        <v>258</v>
      </c>
      <c r="D357" s="9" t="n">
        <v>3</v>
      </c>
      <c r="E357" s="30" t="n">
        <v>199491</v>
      </c>
      <c r="F357" s="30" t="n">
        <v>44568</v>
      </c>
      <c r="G357" s="35" t="n">
        <v>0.223408574822924</v>
      </c>
    </row>
    <row r="358" customFormat="false" ht="15" hidden="false" customHeight="false" outlineLevel="0" collapsed="false">
      <c r="A358" s="25" t="s">
        <v>607</v>
      </c>
      <c r="B358" s="25" t="s">
        <v>194</v>
      </c>
      <c r="C358" s="29" t="s">
        <v>203</v>
      </c>
      <c r="D358" s="29" t="n">
        <v>3</v>
      </c>
      <c r="E358" s="31" t="n">
        <v>198993</v>
      </c>
      <c r="F358" s="31" t="n">
        <v>29676</v>
      </c>
      <c r="G358" s="37" t="n">
        <v>0.14913087395034</v>
      </c>
    </row>
    <row r="359" customFormat="false" ht="15" hidden="false" customHeight="false" outlineLevel="0" collapsed="false">
      <c r="A359" s="20" t="s">
        <v>608</v>
      </c>
      <c r="B359" s="20" t="s">
        <v>194</v>
      </c>
      <c r="C359" s="9" t="s">
        <v>334</v>
      </c>
      <c r="D359" s="9" t="n">
        <v>4</v>
      </c>
      <c r="E359" s="30" t="n">
        <v>198440</v>
      </c>
      <c r="F359" s="30" t="n">
        <v>52440</v>
      </c>
      <c r="G359" s="35" t="n">
        <v>0.264261237653699</v>
      </c>
    </row>
    <row r="360" customFormat="false" ht="15" hidden="false" customHeight="false" outlineLevel="0" collapsed="false">
      <c r="A360" s="25" t="s">
        <v>609</v>
      </c>
      <c r="B360" s="25" t="s">
        <v>194</v>
      </c>
      <c r="C360" s="29" t="s">
        <v>355</v>
      </c>
      <c r="D360" s="29" t="n">
        <v>7</v>
      </c>
      <c r="E360" s="31" t="n">
        <v>197708</v>
      </c>
      <c r="F360" s="31" t="n">
        <v>-1379</v>
      </c>
      <c r="G360" s="37" t="n">
        <v>-0.0069749327290752</v>
      </c>
    </row>
    <row r="361" customFormat="false" ht="15" hidden="false" customHeight="false" outlineLevel="0" collapsed="false">
      <c r="A361" s="20" t="s">
        <v>610</v>
      </c>
      <c r="B361" s="20" t="s">
        <v>200</v>
      </c>
      <c r="C361" s="9" t="s">
        <v>229</v>
      </c>
      <c r="D361" s="9" t="n">
        <v>153</v>
      </c>
      <c r="E361" s="30" t="n">
        <v>197523</v>
      </c>
      <c r="F361" s="30" t="n">
        <v>31059</v>
      </c>
      <c r="G361" s="35" t="n">
        <v>0.15724244771495</v>
      </c>
    </row>
    <row r="362" customFormat="false" ht="15" hidden="false" customHeight="false" outlineLevel="0" collapsed="false">
      <c r="A362" s="25" t="s">
        <v>611</v>
      </c>
      <c r="B362" s="25" t="s">
        <v>194</v>
      </c>
      <c r="C362" s="29" t="s">
        <v>195</v>
      </c>
      <c r="D362" s="29" t="n">
        <v>5</v>
      </c>
      <c r="E362" s="31" t="n">
        <v>197405</v>
      </c>
      <c r="F362" s="31" t="n">
        <v>10085</v>
      </c>
      <c r="G362" s="37" t="n">
        <v>0.0510878650490109</v>
      </c>
    </row>
    <row r="363" customFormat="false" ht="15" hidden="false" customHeight="false" outlineLevel="0" collapsed="false">
      <c r="A363" s="20" t="s">
        <v>612</v>
      </c>
      <c r="B363" s="20" t="s">
        <v>200</v>
      </c>
      <c r="C363" s="9" t="s">
        <v>297</v>
      </c>
      <c r="D363" s="9" t="n">
        <v>4</v>
      </c>
      <c r="E363" s="30" t="n">
        <v>195664</v>
      </c>
      <c r="F363" s="30" t="n">
        <v>80700</v>
      </c>
      <c r="G363" s="35" t="n">
        <v>0.412441736855017</v>
      </c>
    </row>
    <row r="364" customFormat="false" ht="15" hidden="false" customHeight="false" outlineLevel="0" collapsed="false">
      <c r="A364" s="25" t="s">
        <v>613</v>
      </c>
      <c r="B364" s="29" t="s">
        <v>614</v>
      </c>
      <c r="C364" s="29" t="s">
        <v>290</v>
      </c>
      <c r="D364" s="29" t="n">
        <v>15</v>
      </c>
      <c r="E364" s="31" t="n">
        <v>194730</v>
      </c>
      <c r="F364" s="31" t="n">
        <v>68415</v>
      </c>
      <c r="G364" s="37" t="n">
        <v>0.351332614389154</v>
      </c>
    </row>
    <row r="365" customFormat="false" ht="15" hidden="false" customHeight="false" outlineLevel="0" collapsed="false">
      <c r="A365" s="20" t="s">
        <v>615</v>
      </c>
      <c r="B365" s="20" t="s">
        <v>200</v>
      </c>
      <c r="C365" s="9" t="s">
        <v>428</v>
      </c>
      <c r="D365" s="9" t="n">
        <v>20</v>
      </c>
      <c r="E365" s="30" t="n">
        <v>194020</v>
      </c>
      <c r="F365" s="30" t="n">
        <v>64020</v>
      </c>
      <c r="G365" s="35" t="n">
        <v>0.329965982888362</v>
      </c>
    </row>
    <row r="366" customFormat="false" ht="15" hidden="false" customHeight="false" outlineLevel="0" collapsed="false">
      <c r="A366" s="25" t="s">
        <v>616</v>
      </c>
      <c r="B366" s="25" t="s">
        <v>194</v>
      </c>
      <c r="C366" s="29" t="s">
        <v>203</v>
      </c>
      <c r="D366" s="29" t="n">
        <v>15</v>
      </c>
      <c r="E366" s="31" t="n">
        <v>193370</v>
      </c>
      <c r="F366" s="31" t="n">
        <v>53885</v>
      </c>
      <c r="G366" s="37" t="n">
        <v>0.278662667425144</v>
      </c>
    </row>
    <row r="367" customFormat="false" ht="15" hidden="false" customHeight="false" outlineLevel="0" collapsed="false">
      <c r="A367" s="20" t="s">
        <v>617</v>
      </c>
      <c r="B367" s="9" t="s">
        <v>281</v>
      </c>
      <c r="C367" s="9" t="s">
        <v>197</v>
      </c>
      <c r="D367" s="9" t="n">
        <v>244</v>
      </c>
      <c r="E367" s="30" t="n">
        <v>193004</v>
      </c>
      <c r="F367" s="30" t="n">
        <v>73688</v>
      </c>
      <c r="G367" s="35" t="n">
        <v>0.381795195954488</v>
      </c>
    </row>
    <row r="368" customFormat="false" ht="15" hidden="false" customHeight="false" outlineLevel="0" collapsed="false">
      <c r="A368" s="25" t="s">
        <v>618</v>
      </c>
      <c r="B368" s="29" t="s">
        <v>253</v>
      </c>
      <c r="C368" s="29" t="s">
        <v>297</v>
      </c>
      <c r="D368" s="29" t="n">
        <v>367</v>
      </c>
      <c r="E368" s="31" t="n">
        <v>192673</v>
      </c>
      <c r="F368" s="31" t="n">
        <v>131017</v>
      </c>
      <c r="G368" s="37" t="n">
        <v>0.679996678309883</v>
      </c>
    </row>
    <row r="369" customFormat="false" ht="15" hidden="false" customHeight="false" outlineLevel="0" collapsed="false">
      <c r="A369" s="20" t="s">
        <v>619</v>
      </c>
      <c r="B369" s="20" t="s">
        <v>620</v>
      </c>
      <c r="C369" s="9" t="s">
        <v>229</v>
      </c>
      <c r="D369" s="9" t="n">
        <v>18</v>
      </c>
      <c r="E369" s="30" t="n">
        <v>191268</v>
      </c>
      <c r="F369" s="30" t="n">
        <v>-122256</v>
      </c>
      <c r="G369" s="35" t="n">
        <v>-0.639186900056465</v>
      </c>
    </row>
    <row r="370" customFormat="false" ht="15" hidden="false" customHeight="false" outlineLevel="0" collapsed="false">
      <c r="A370" s="25" t="s">
        <v>621</v>
      </c>
      <c r="B370" s="25" t="s">
        <v>240</v>
      </c>
      <c r="C370" s="29" t="s">
        <v>622</v>
      </c>
      <c r="D370" s="29" t="n">
        <v>69</v>
      </c>
      <c r="E370" s="31" t="n">
        <v>189681</v>
      </c>
      <c r="F370" s="31" t="n">
        <v>97428</v>
      </c>
      <c r="G370" s="37" t="n">
        <v>0.513641324117861</v>
      </c>
    </row>
    <row r="371" customFormat="false" ht="15" hidden="false" customHeight="false" outlineLevel="0" collapsed="false">
      <c r="A371" s="20" t="s">
        <v>623</v>
      </c>
      <c r="B371" s="20" t="s">
        <v>194</v>
      </c>
      <c r="C371" s="9" t="s">
        <v>195</v>
      </c>
      <c r="D371" s="9" t="n">
        <v>2</v>
      </c>
      <c r="E371" s="30" t="n">
        <v>188710</v>
      </c>
      <c r="F371" s="30" t="n">
        <v>79634</v>
      </c>
      <c r="G371" s="35" t="n">
        <v>0.42199141539929</v>
      </c>
    </row>
    <row r="372" customFormat="false" ht="15" hidden="false" customHeight="false" outlineLevel="0" collapsed="false">
      <c r="A372" s="25" t="s">
        <v>624</v>
      </c>
      <c r="B372" s="25" t="s">
        <v>194</v>
      </c>
      <c r="C372" s="29" t="s">
        <v>231</v>
      </c>
      <c r="D372" s="29" t="n">
        <v>54</v>
      </c>
      <c r="E372" s="31" t="n">
        <v>188624</v>
      </c>
      <c r="F372" s="31" t="n">
        <v>51356</v>
      </c>
      <c r="G372" s="37" t="n">
        <v>0.27226651963695</v>
      </c>
    </row>
    <row r="373" customFormat="false" ht="15" hidden="false" customHeight="false" outlineLevel="0" collapsed="false">
      <c r="A373" s="20" t="s">
        <v>625</v>
      </c>
      <c r="B373" s="20" t="s">
        <v>194</v>
      </c>
      <c r="C373" s="9" t="s">
        <v>430</v>
      </c>
      <c r="D373" s="9" t="n">
        <v>2</v>
      </c>
      <c r="E373" s="30" t="n">
        <v>188510</v>
      </c>
      <c r="F373" s="30" t="n">
        <v>31652</v>
      </c>
      <c r="G373" s="35" t="n">
        <v>0.167906211872049</v>
      </c>
    </row>
    <row r="374" customFormat="false" ht="15" hidden="false" customHeight="false" outlineLevel="0" collapsed="false">
      <c r="A374" s="25" t="s">
        <v>626</v>
      </c>
      <c r="B374" s="25" t="s">
        <v>194</v>
      </c>
      <c r="C374" s="29" t="s">
        <v>217</v>
      </c>
      <c r="D374" s="29" t="n">
        <v>17</v>
      </c>
      <c r="E374" s="31" t="n">
        <v>188462</v>
      </c>
      <c r="F374" s="31" t="n">
        <v>25228</v>
      </c>
      <c r="G374" s="37" t="n">
        <v>0.133862529316255</v>
      </c>
    </row>
    <row r="375" customFormat="false" ht="15" hidden="false" customHeight="false" outlineLevel="0" collapsed="false">
      <c r="A375" s="20" t="s">
        <v>627</v>
      </c>
      <c r="B375" s="20" t="s">
        <v>220</v>
      </c>
      <c r="C375" s="9" t="s">
        <v>217</v>
      </c>
      <c r="D375" s="9" t="n">
        <v>3</v>
      </c>
      <c r="E375" s="30" t="n">
        <v>187539</v>
      </c>
      <c r="F375" s="30" t="n">
        <v>49662</v>
      </c>
      <c r="G375" s="35" t="n">
        <v>0.264808919744693</v>
      </c>
    </row>
    <row r="376" customFormat="false" ht="15" hidden="false" customHeight="false" outlineLevel="0" collapsed="false">
      <c r="A376" s="25" t="s">
        <v>628</v>
      </c>
      <c r="B376" s="25" t="s">
        <v>194</v>
      </c>
      <c r="C376" s="29" t="s">
        <v>209</v>
      </c>
      <c r="D376" s="29" t="n">
        <v>83</v>
      </c>
      <c r="E376" s="31" t="n">
        <v>186169</v>
      </c>
      <c r="F376" s="31" t="n">
        <v>7387</v>
      </c>
      <c r="G376" s="37" t="n">
        <v>0.0396790013374944</v>
      </c>
    </row>
    <row r="377" customFormat="false" ht="15" hidden="false" customHeight="false" outlineLevel="0" collapsed="false">
      <c r="A377" s="20" t="s">
        <v>629</v>
      </c>
      <c r="B377" s="9" t="s">
        <v>281</v>
      </c>
      <c r="C377" s="9" t="s">
        <v>197</v>
      </c>
      <c r="D377" s="9" t="n">
        <v>123</v>
      </c>
      <c r="E377" s="30" t="n">
        <v>185976</v>
      </c>
      <c r="F377" s="30" t="n">
        <v>57687</v>
      </c>
      <c r="G377" s="35" t="n">
        <v>0.310185185185185</v>
      </c>
    </row>
    <row r="378" customFormat="false" ht="15" hidden="false" customHeight="false" outlineLevel="0" collapsed="false">
      <c r="A378" s="25" t="s">
        <v>630</v>
      </c>
      <c r="B378" s="25" t="s">
        <v>194</v>
      </c>
      <c r="C378" s="29" t="s">
        <v>197</v>
      </c>
      <c r="D378" s="29" t="n">
        <v>62</v>
      </c>
      <c r="E378" s="31" t="n">
        <v>184388</v>
      </c>
      <c r="F378" s="31" t="n">
        <v>32736</v>
      </c>
      <c r="G378" s="37" t="n">
        <v>0.177538668459987</v>
      </c>
    </row>
    <row r="379" customFormat="false" ht="15" hidden="false" customHeight="false" outlineLevel="0" collapsed="false">
      <c r="A379" s="20" t="s">
        <v>631</v>
      </c>
      <c r="B379" s="9" t="s">
        <v>281</v>
      </c>
      <c r="C379" s="9" t="s">
        <v>197</v>
      </c>
      <c r="D379" s="9" t="n">
        <v>75</v>
      </c>
      <c r="E379" s="30" t="n">
        <v>184350</v>
      </c>
      <c r="F379" s="30" t="n">
        <v>108975</v>
      </c>
      <c r="G379" s="35" t="n">
        <v>0.59113100081367</v>
      </c>
    </row>
    <row r="380" customFormat="false" ht="15" hidden="false" customHeight="false" outlineLevel="0" collapsed="false">
      <c r="A380" s="25" t="s">
        <v>632</v>
      </c>
      <c r="B380" s="25" t="s">
        <v>194</v>
      </c>
      <c r="C380" s="29" t="s">
        <v>203</v>
      </c>
      <c r="D380" s="29" t="n">
        <v>25</v>
      </c>
      <c r="E380" s="31" t="n">
        <v>184275</v>
      </c>
      <c r="F380" s="31" t="n">
        <v>68100</v>
      </c>
      <c r="G380" s="37" t="n">
        <v>0.36955636955637</v>
      </c>
    </row>
    <row r="381" customFormat="false" ht="15" hidden="false" customHeight="false" outlineLevel="0" collapsed="false">
      <c r="A381" s="20" t="s">
        <v>633</v>
      </c>
      <c r="B381" s="20" t="s">
        <v>240</v>
      </c>
      <c r="C381" s="9" t="s">
        <v>634</v>
      </c>
      <c r="D381" s="9" t="n">
        <v>60</v>
      </c>
      <c r="E381" s="30" t="n">
        <v>183240</v>
      </c>
      <c r="F381" s="30" t="n">
        <v>147240</v>
      </c>
      <c r="G381" s="35" t="n">
        <v>0.803536345776031</v>
      </c>
    </row>
    <row r="382" customFormat="false" ht="15" hidden="false" customHeight="false" outlineLevel="0" collapsed="false">
      <c r="A382" s="25" t="s">
        <v>635</v>
      </c>
      <c r="B382" s="25" t="s">
        <v>220</v>
      </c>
      <c r="C382" s="29" t="s">
        <v>217</v>
      </c>
      <c r="D382" s="29" t="n">
        <v>22</v>
      </c>
      <c r="E382" s="31" t="n">
        <v>182578</v>
      </c>
      <c r="F382" s="31" t="n">
        <v>74470</v>
      </c>
      <c r="G382" s="37" t="n">
        <v>0.407880467526208</v>
      </c>
    </row>
    <row r="383" customFormat="false" ht="15" hidden="false" customHeight="false" outlineLevel="0" collapsed="false">
      <c r="A383" s="20" t="s">
        <v>636</v>
      </c>
      <c r="B383" s="20" t="s">
        <v>194</v>
      </c>
      <c r="C383" s="9" t="s">
        <v>203</v>
      </c>
      <c r="D383" s="9" t="n">
        <v>26</v>
      </c>
      <c r="E383" s="30" t="n">
        <v>181974</v>
      </c>
      <c r="F383" s="30" t="n">
        <v>37986</v>
      </c>
      <c r="G383" s="35" t="n">
        <v>0.2087441063009</v>
      </c>
    </row>
    <row r="384" customFormat="false" ht="15" hidden="false" customHeight="false" outlineLevel="0" collapsed="false">
      <c r="A384" s="25" t="s">
        <v>637</v>
      </c>
      <c r="B384" s="29" t="s">
        <v>253</v>
      </c>
      <c r="C384" s="29" t="s">
        <v>428</v>
      </c>
      <c r="D384" s="29" t="n">
        <v>30</v>
      </c>
      <c r="E384" s="31" t="n">
        <v>181770</v>
      </c>
      <c r="F384" s="31" t="n">
        <v>33690</v>
      </c>
      <c r="G384" s="37" t="n">
        <v>0.185344116190791</v>
      </c>
    </row>
    <row r="385" customFormat="false" ht="15" hidden="false" customHeight="false" outlineLevel="0" collapsed="false">
      <c r="A385" s="20" t="s">
        <v>638</v>
      </c>
      <c r="B385" s="20" t="s">
        <v>194</v>
      </c>
      <c r="C385" s="9" t="s">
        <v>195</v>
      </c>
      <c r="D385" s="9" t="n">
        <v>2</v>
      </c>
      <c r="E385" s="30" t="n">
        <v>181446</v>
      </c>
      <c r="F385" s="30" t="n">
        <v>131464</v>
      </c>
      <c r="G385" s="35" t="n">
        <v>0.724535123397595</v>
      </c>
    </row>
    <row r="386" customFormat="false" ht="15" hidden="false" customHeight="false" outlineLevel="0" collapsed="false">
      <c r="A386" s="25" t="s">
        <v>639</v>
      </c>
      <c r="B386" s="25" t="s">
        <v>194</v>
      </c>
      <c r="C386" s="29" t="s">
        <v>203</v>
      </c>
      <c r="D386" s="29" t="n">
        <v>20</v>
      </c>
      <c r="E386" s="31" t="n">
        <v>181380</v>
      </c>
      <c r="F386" s="31" t="n">
        <v>53520</v>
      </c>
      <c r="G386" s="37" t="n">
        <v>0.29507112140258</v>
      </c>
    </row>
    <row r="387" customFormat="false" ht="15" hidden="false" customHeight="false" outlineLevel="0" collapsed="false">
      <c r="A387" s="20" t="s">
        <v>640</v>
      </c>
      <c r="B387" s="20" t="s">
        <v>194</v>
      </c>
      <c r="C387" s="9" t="s">
        <v>203</v>
      </c>
      <c r="D387" s="9" t="n">
        <v>7</v>
      </c>
      <c r="E387" s="30" t="n">
        <v>181363</v>
      </c>
      <c r="F387" s="30" t="n">
        <v>32312</v>
      </c>
      <c r="G387" s="35" t="n">
        <v>0.178162028638697</v>
      </c>
    </row>
    <row r="388" customFormat="false" ht="15" hidden="false" customHeight="false" outlineLevel="0" collapsed="false">
      <c r="A388" s="25" t="s">
        <v>641</v>
      </c>
      <c r="B388" s="25" t="s">
        <v>194</v>
      </c>
      <c r="C388" s="29" t="s">
        <v>430</v>
      </c>
      <c r="D388" s="29" t="n">
        <v>2</v>
      </c>
      <c r="E388" s="31" t="n">
        <v>181320</v>
      </c>
      <c r="F388" s="31" t="n">
        <v>66456</v>
      </c>
      <c r="G388" s="37" t="n">
        <v>0.36651224354732</v>
      </c>
    </row>
    <row r="389" customFormat="false" ht="15" hidden="false" customHeight="false" outlineLevel="0" collapsed="false">
      <c r="A389" s="20" t="s">
        <v>642</v>
      </c>
      <c r="B389" s="20" t="s">
        <v>194</v>
      </c>
      <c r="C389" s="9" t="s">
        <v>203</v>
      </c>
      <c r="D389" s="9" t="n">
        <v>62</v>
      </c>
      <c r="E389" s="30" t="n">
        <v>180420</v>
      </c>
      <c r="F389" s="30" t="n">
        <v>143344</v>
      </c>
      <c r="G389" s="35" t="n">
        <v>0.794501718213058</v>
      </c>
    </row>
    <row r="390" customFormat="false" ht="15" hidden="false" customHeight="false" outlineLevel="0" collapsed="false">
      <c r="A390" s="25" t="s">
        <v>643</v>
      </c>
      <c r="B390" s="25" t="s">
        <v>220</v>
      </c>
      <c r="C390" s="29" t="s">
        <v>217</v>
      </c>
      <c r="D390" s="29" t="n">
        <v>5</v>
      </c>
      <c r="E390" s="31" t="n">
        <v>178320</v>
      </c>
      <c r="F390" s="31" t="n">
        <v>2755</v>
      </c>
      <c r="G390" s="37" t="n">
        <v>0.0154497532525796</v>
      </c>
    </row>
    <row r="391" customFormat="false" ht="15" hidden="false" customHeight="false" outlineLevel="0" collapsed="false">
      <c r="A391" s="20" t="s">
        <v>644</v>
      </c>
      <c r="B391" s="20" t="s">
        <v>645</v>
      </c>
      <c r="C391" s="9" t="s">
        <v>646</v>
      </c>
      <c r="D391" s="9" t="n">
        <v>1</v>
      </c>
      <c r="E391" s="30" t="n">
        <v>178255</v>
      </c>
      <c r="F391" s="30" t="n">
        <v>26738</v>
      </c>
      <c r="G391" s="35" t="n">
        <v>0.149998597514796</v>
      </c>
    </row>
    <row r="392" customFormat="false" ht="15" hidden="false" customHeight="false" outlineLevel="0" collapsed="false">
      <c r="A392" s="25" t="s">
        <v>647</v>
      </c>
      <c r="B392" s="25" t="s">
        <v>194</v>
      </c>
      <c r="C392" s="29" t="s">
        <v>380</v>
      </c>
      <c r="D392" s="29" t="n">
        <v>2</v>
      </c>
      <c r="E392" s="31" t="n">
        <v>178230</v>
      </c>
      <c r="F392" s="31" t="n">
        <v>11954</v>
      </c>
      <c r="G392" s="37" t="n">
        <v>0.0670706390618863</v>
      </c>
    </row>
    <row r="393" customFormat="false" ht="15" hidden="false" customHeight="false" outlineLevel="0" collapsed="false">
      <c r="A393" s="20" t="s">
        <v>648</v>
      </c>
      <c r="B393" s="20" t="s">
        <v>194</v>
      </c>
      <c r="C393" s="9" t="s">
        <v>236</v>
      </c>
      <c r="D393" s="9" t="n">
        <v>289</v>
      </c>
      <c r="E393" s="30" t="n">
        <v>176290</v>
      </c>
      <c r="F393" s="30" t="n">
        <v>39882</v>
      </c>
      <c r="G393" s="35" t="n">
        <v>0.226229508196721</v>
      </c>
    </row>
    <row r="394" customFormat="false" ht="15" hidden="false" customHeight="false" outlineLevel="0" collapsed="false">
      <c r="A394" s="25" t="s">
        <v>649</v>
      </c>
      <c r="B394" s="25" t="s">
        <v>194</v>
      </c>
      <c r="C394" s="29" t="s">
        <v>203</v>
      </c>
      <c r="D394" s="29" t="n">
        <v>295</v>
      </c>
      <c r="E394" s="31" t="n">
        <v>175820</v>
      </c>
      <c r="F394" s="31" t="n">
        <v>75520</v>
      </c>
      <c r="G394" s="37" t="n">
        <v>0.429530201342282</v>
      </c>
    </row>
    <row r="395" customFormat="false" ht="15" hidden="false" customHeight="false" outlineLevel="0" collapsed="false">
      <c r="A395" s="20" t="s">
        <v>650</v>
      </c>
      <c r="B395" s="20" t="s">
        <v>194</v>
      </c>
      <c r="C395" s="9" t="s">
        <v>203</v>
      </c>
      <c r="D395" s="9" t="n">
        <v>28</v>
      </c>
      <c r="E395" s="30" t="n">
        <v>175616</v>
      </c>
      <c r="F395" s="30" t="n">
        <v>114436</v>
      </c>
      <c r="G395" s="35" t="n">
        <v>0.651626275510204</v>
      </c>
    </row>
    <row r="396" customFormat="false" ht="15" hidden="false" customHeight="false" outlineLevel="0" collapsed="false">
      <c r="A396" s="25" t="s">
        <v>651</v>
      </c>
      <c r="B396" s="25" t="s">
        <v>194</v>
      </c>
      <c r="C396" s="29" t="s">
        <v>195</v>
      </c>
      <c r="D396" s="29" t="n">
        <v>2</v>
      </c>
      <c r="E396" s="31" t="n">
        <v>175422</v>
      </c>
      <c r="F396" s="31" t="n">
        <v>119926</v>
      </c>
      <c r="G396" s="37" t="n">
        <v>0.683642872615749</v>
      </c>
    </row>
    <row r="397" customFormat="false" ht="15" hidden="false" customHeight="false" outlineLevel="0" collapsed="false">
      <c r="A397" s="20" t="s">
        <v>652</v>
      </c>
      <c r="B397" s="9" t="s">
        <v>281</v>
      </c>
      <c r="C397" s="20" t="s">
        <v>226</v>
      </c>
      <c r="D397" s="9" t="n">
        <v>40</v>
      </c>
      <c r="E397" s="30" t="n">
        <v>174640</v>
      </c>
      <c r="F397" s="30" t="n">
        <v>-72480</v>
      </c>
      <c r="G397" s="35" t="n">
        <v>-0.415025194686212</v>
      </c>
    </row>
    <row r="398" customFormat="false" ht="15" hidden="false" customHeight="false" outlineLevel="0" collapsed="false">
      <c r="A398" s="25" t="s">
        <v>653</v>
      </c>
      <c r="B398" s="25" t="s">
        <v>194</v>
      </c>
      <c r="C398" s="29" t="s">
        <v>195</v>
      </c>
      <c r="D398" s="29" t="n">
        <v>40</v>
      </c>
      <c r="E398" s="31" t="n">
        <v>174359</v>
      </c>
      <c r="F398" s="31" t="n">
        <v>35319</v>
      </c>
      <c r="G398" s="37" t="n">
        <v>0.202564823152232</v>
      </c>
    </row>
    <row r="399" customFormat="false" ht="15" hidden="false" customHeight="false" outlineLevel="0" collapsed="false">
      <c r="A399" s="20" t="s">
        <v>654</v>
      </c>
      <c r="B399" s="9" t="s">
        <v>216</v>
      </c>
      <c r="C399" s="9" t="s">
        <v>297</v>
      </c>
      <c r="D399" s="9" t="n">
        <v>4</v>
      </c>
      <c r="E399" s="30" t="n">
        <v>174272</v>
      </c>
      <c r="F399" s="30" t="n">
        <v>26560</v>
      </c>
      <c r="G399" s="35" t="n">
        <v>0.152405435181785</v>
      </c>
    </row>
    <row r="400" customFormat="false" ht="15" hidden="false" customHeight="false" outlineLevel="0" collapsed="false">
      <c r="A400" s="25" t="s">
        <v>655</v>
      </c>
      <c r="B400" s="25" t="s">
        <v>194</v>
      </c>
      <c r="C400" s="29" t="s">
        <v>195</v>
      </c>
      <c r="D400" s="29" t="n">
        <v>10</v>
      </c>
      <c r="E400" s="31" t="n">
        <v>173290</v>
      </c>
      <c r="F400" s="31" t="n">
        <v>131170</v>
      </c>
      <c r="G400" s="37" t="n">
        <v>0.756939234808702</v>
      </c>
    </row>
    <row r="401" customFormat="false" ht="15" hidden="false" customHeight="false" outlineLevel="0" collapsed="false">
      <c r="A401" s="20" t="s">
        <v>656</v>
      </c>
      <c r="B401" s="20" t="s">
        <v>194</v>
      </c>
      <c r="C401" s="9" t="s">
        <v>439</v>
      </c>
      <c r="D401" s="9" t="n">
        <v>1</v>
      </c>
      <c r="E401" s="30" t="n">
        <v>172327</v>
      </c>
      <c r="F401" s="30" t="n">
        <v>63098</v>
      </c>
      <c r="G401" s="35" t="n">
        <v>0.366152721279892</v>
      </c>
    </row>
    <row r="402" customFormat="false" ht="15" hidden="false" customHeight="false" outlineLevel="0" collapsed="false">
      <c r="A402" s="25" t="s">
        <v>657</v>
      </c>
      <c r="B402" s="25" t="s">
        <v>200</v>
      </c>
      <c r="C402" s="29" t="s">
        <v>201</v>
      </c>
      <c r="D402" s="29" t="n">
        <v>3</v>
      </c>
      <c r="E402" s="31" t="n">
        <v>172104</v>
      </c>
      <c r="F402" s="31" t="n">
        <v>75726</v>
      </c>
      <c r="G402" s="37" t="n">
        <v>0.440001394505648</v>
      </c>
    </row>
    <row r="403" customFormat="false" ht="15" hidden="false" customHeight="false" outlineLevel="0" collapsed="false">
      <c r="A403" s="20" t="s">
        <v>658</v>
      </c>
      <c r="B403" s="20" t="s">
        <v>194</v>
      </c>
      <c r="C403" s="9" t="s">
        <v>203</v>
      </c>
      <c r="D403" s="9" t="n">
        <v>15</v>
      </c>
      <c r="E403" s="30" t="n">
        <v>171335</v>
      </c>
      <c r="F403" s="30" t="n">
        <v>81275</v>
      </c>
      <c r="G403" s="35" t="n">
        <v>0.474363089853212</v>
      </c>
    </row>
    <row r="404" customFormat="false" ht="15" hidden="false" customHeight="false" outlineLevel="0" collapsed="false">
      <c r="A404" s="25" t="s">
        <v>659</v>
      </c>
      <c r="B404" s="25" t="s">
        <v>194</v>
      </c>
      <c r="C404" s="29" t="s">
        <v>430</v>
      </c>
      <c r="D404" s="29" t="n">
        <v>9</v>
      </c>
      <c r="E404" s="31" t="n">
        <v>171018</v>
      </c>
      <c r="F404" s="31" t="n">
        <v>10908</v>
      </c>
      <c r="G404" s="37" t="n">
        <v>0.0637827597095042</v>
      </c>
    </row>
    <row r="405" customFormat="false" ht="15" hidden="false" customHeight="false" outlineLevel="0" collapsed="false">
      <c r="A405" s="20" t="s">
        <v>660</v>
      </c>
      <c r="B405" s="20" t="s">
        <v>194</v>
      </c>
      <c r="C405" s="9" t="s">
        <v>203</v>
      </c>
      <c r="D405" s="9" t="n">
        <v>41</v>
      </c>
      <c r="E405" s="30" t="n">
        <v>170724</v>
      </c>
      <c r="F405" s="30" t="n">
        <v>95202</v>
      </c>
      <c r="G405" s="35" t="n">
        <v>0.557636887608069</v>
      </c>
    </row>
    <row r="406" customFormat="false" ht="15" hidden="false" customHeight="false" outlineLevel="0" collapsed="false">
      <c r="A406" s="25" t="s">
        <v>661</v>
      </c>
      <c r="B406" s="29" t="s">
        <v>403</v>
      </c>
      <c r="C406" s="29" t="s">
        <v>223</v>
      </c>
      <c r="D406" s="29" t="n">
        <v>2</v>
      </c>
      <c r="E406" s="31" t="n">
        <v>170478</v>
      </c>
      <c r="F406" s="31" t="n">
        <v>59044</v>
      </c>
      <c r="G406" s="37" t="n">
        <v>0.346343809758444</v>
      </c>
    </row>
    <row r="407" customFormat="false" ht="15" hidden="false" customHeight="false" outlineLevel="0" collapsed="false">
      <c r="A407" s="20" t="s">
        <v>662</v>
      </c>
      <c r="B407" s="20" t="s">
        <v>194</v>
      </c>
      <c r="C407" s="9" t="s">
        <v>203</v>
      </c>
      <c r="D407" s="9" t="n">
        <v>107</v>
      </c>
      <c r="E407" s="30" t="n">
        <v>169274</v>
      </c>
      <c r="F407" s="30" t="n">
        <v>48043</v>
      </c>
      <c r="G407" s="35" t="n">
        <v>0.283817951959545</v>
      </c>
    </row>
    <row r="408" customFormat="false" ht="15" hidden="false" customHeight="false" outlineLevel="0" collapsed="false">
      <c r="A408" s="25" t="s">
        <v>663</v>
      </c>
      <c r="B408" s="25" t="s">
        <v>194</v>
      </c>
      <c r="C408" s="29" t="s">
        <v>258</v>
      </c>
      <c r="D408" s="29" t="n">
        <v>4</v>
      </c>
      <c r="E408" s="31" t="n">
        <v>169028</v>
      </c>
      <c r="F408" s="31" t="n">
        <v>52504</v>
      </c>
      <c r="G408" s="37" t="n">
        <v>0.310623092032089</v>
      </c>
    </row>
    <row r="409" customFormat="false" ht="15" hidden="false" customHeight="false" outlineLevel="0" collapsed="false">
      <c r="A409" s="20" t="s">
        <v>664</v>
      </c>
      <c r="B409" s="20" t="s">
        <v>194</v>
      </c>
      <c r="C409" s="9" t="s">
        <v>334</v>
      </c>
      <c r="D409" s="9" t="n">
        <v>16</v>
      </c>
      <c r="E409" s="30" t="n">
        <v>168912</v>
      </c>
      <c r="F409" s="30" t="n">
        <v>37632</v>
      </c>
      <c r="G409" s="35" t="n">
        <v>0.222790565501563</v>
      </c>
    </row>
    <row r="410" customFormat="false" ht="15" hidden="false" customHeight="false" outlineLevel="0" collapsed="false">
      <c r="A410" s="25" t="s">
        <v>665</v>
      </c>
      <c r="B410" s="25" t="s">
        <v>194</v>
      </c>
      <c r="C410" s="29" t="s">
        <v>195</v>
      </c>
      <c r="D410" s="29" t="n">
        <v>6</v>
      </c>
      <c r="E410" s="31" t="n">
        <v>168122</v>
      </c>
      <c r="F410" s="31" t="n">
        <v>15506</v>
      </c>
      <c r="G410" s="37" t="n">
        <v>0.0922306420337612</v>
      </c>
    </row>
    <row r="411" customFormat="false" ht="15" hidden="false" customHeight="false" outlineLevel="0" collapsed="false">
      <c r="A411" s="20" t="s">
        <v>666</v>
      </c>
      <c r="B411" s="20" t="s">
        <v>200</v>
      </c>
      <c r="C411" s="9" t="s">
        <v>380</v>
      </c>
      <c r="D411" s="9" t="n">
        <v>4</v>
      </c>
      <c r="E411" s="30" t="n">
        <v>167488</v>
      </c>
      <c r="F411" s="30" t="n">
        <v>5144</v>
      </c>
      <c r="G411" s="35" t="n">
        <v>0.0307126480703095</v>
      </c>
    </row>
    <row r="412" customFormat="false" ht="15" hidden="false" customHeight="false" outlineLevel="0" collapsed="false">
      <c r="A412" s="25" t="s">
        <v>667</v>
      </c>
      <c r="B412" s="25" t="s">
        <v>308</v>
      </c>
      <c r="C412" s="29" t="s">
        <v>309</v>
      </c>
      <c r="D412" s="29" t="n">
        <v>150</v>
      </c>
      <c r="E412" s="31" t="n">
        <v>167250</v>
      </c>
      <c r="F412" s="31" t="n">
        <v>122250</v>
      </c>
      <c r="G412" s="37" t="n">
        <v>0.730941704035874</v>
      </c>
    </row>
    <row r="413" customFormat="false" ht="15" hidden="false" customHeight="false" outlineLevel="0" collapsed="false">
      <c r="A413" s="20" t="s">
        <v>668</v>
      </c>
      <c r="B413" s="9" t="s">
        <v>216</v>
      </c>
      <c r="C413" s="9" t="s">
        <v>428</v>
      </c>
      <c r="D413" s="9" t="n">
        <v>5</v>
      </c>
      <c r="E413" s="30" t="n">
        <v>166880</v>
      </c>
      <c r="F413" s="30" t="n">
        <v>153605</v>
      </c>
      <c r="G413" s="35" t="n">
        <v>0.920451821668265</v>
      </c>
    </row>
    <row r="414" customFormat="false" ht="15" hidden="false" customHeight="false" outlineLevel="0" collapsed="false">
      <c r="A414" s="25" t="s">
        <v>669</v>
      </c>
      <c r="B414" s="25" t="s">
        <v>194</v>
      </c>
      <c r="C414" s="29" t="s">
        <v>334</v>
      </c>
      <c r="D414" s="29" t="n">
        <v>4</v>
      </c>
      <c r="E414" s="31" t="n">
        <v>166824</v>
      </c>
      <c r="F414" s="31" t="n">
        <v>-2068</v>
      </c>
      <c r="G414" s="37" t="n">
        <v>-0.0123962978947873</v>
      </c>
    </row>
    <row r="415" customFormat="false" ht="15" hidden="false" customHeight="false" outlineLevel="0" collapsed="false">
      <c r="A415" s="20" t="s">
        <v>670</v>
      </c>
      <c r="B415" s="9" t="s">
        <v>253</v>
      </c>
      <c r="C415" s="9" t="s">
        <v>223</v>
      </c>
      <c r="D415" s="9" t="n">
        <v>20</v>
      </c>
      <c r="E415" s="30" t="n">
        <v>166260</v>
      </c>
      <c r="F415" s="30" t="n">
        <v>20000</v>
      </c>
      <c r="G415" s="35" t="n">
        <v>0.120293516179478</v>
      </c>
    </row>
    <row r="416" customFormat="false" ht="15" hidden="false" customHeight="false" outlineLevel="0" collapsed="false">
      <c r="A416" s="25" t="s">
        <v>671</v>
      </c>
      <c r="B416" s="29" t="s">
        <v>216</v>
      </c>
      <c r="C416" s="29" t="s">
        <v>428</v>
      </c>
      <c r="D416" s="29" t="n">
        <v>60</v>
      </c>
      <c r="E416" s="31" t="n">
        <v>166260</v>
      </c>
      <c r="F416" s="31" t="n">
        <v>122280</v>
      </c>
      <c r="G416" s="37" t="n">
        <v>0.735474557921328</v>
      </c>
    </row>
    <row r="417" customFormat="false" ht="15" hidden="false" customHeight="false" outlineLevel="0" collapsed="false">
      <c r="A417" s="20" t="s">
        <v>672</v>
      </c>
      <c r="B417" s="20" t="s">
        <v>240</v>
      </c>
      <c r="C417" s="9" t="s">
        <v>516</v>
      </c>
      <c r="D417" s="9" t="n">
        <v>89</v>
      </c>
      <c r="E417" s="30" t="n">
        <v>165732</v>
      </c>
      <c r="F417" s="30" t="n">
        <v>153272</v>
      </c>
      <c r="G417" s="35" t="n">
        <v>0.924818381483359</v>
      </c>
    </row>
    <row r="418" customFormat="false" ht="15" hidden="false" customHeight="false" outlineLevel="0" collapsed="false">
      <c r="A418" s="25" t="s">
        <v>673</v>
      </c>
      <c r="B418" s="25" t="s">
        <v>194</v>
      </c>
      <c r="C418" s="29" t="s">
        <v>368</v>
      </c>
      <c r="D418" s="29" t="n">
        <v>13</v>
      </c>
      <c r="E418" s="31" t="n">
        <v>163618</v>
      </c>
      <c r="F418" s="31" t="n">
        <v>48854</v>
      </c>
      <c r="G418" s="37" t="n">
        <v>0.298585730176386</v>
      </c>
    </row>
    <row r="419" customFormat="false" ht="15" hidden="false" customHeight="false" outlineLevel="0" collapsed="false">
      <c r="A419" s="20" t="s">
        <v>674</v>
      </c>
      <c r="B419" s="9" t="s">
        <v>253</v>
      </c>
      <c r="C419" s="9" t="s">
        <v>622</v>
      </c>
      <c r="D419" s="9" t="n">
        <v>6</v>
      </c>
      <c r="E419" s="30" t="n">
        <v>163008</v>
      </c>
      <c r="F419" s="30" t="n">
        <v>-3084</v>
      </c>
      <c r="G419" s="35" t="n">
        <v>-0.0189193168433451</v>
      </c>
    </row>
    <row r="420" customFormat="false" ht="15" hidden="false" customHeight="false" outlineLevel="0" collapsed="false">
      <c r="A420" s="25" t="s">
        <v>675</v>
      </c>
      <c r="B420" s="25" t="s">
        <v>194</v>
      </c>
      <c r="C420" s="29" t="s">
        <v>676</v>
      </c>
      <c r="D420" s="29" t="n">
        <v>20</v>
      </c>
      <c r="E420" s="31" t="n">
        <v>161540</v>
      </c>
      <c r="F420" s="31" t="n">
        <v>48080</v>
      </c>
      <c r="G420" s="37" t="n">
        <v>0.297635260616566</v>
      </c>
    </row>
    <row r="421" customFormat="false" ht="15" hidden="false" customHeight="false" outlineLevel="0" collapsed="false">
      <c r="A421" s="20" t="s">
        <v>677</v>
      </c>
      <c r="B421" s="20" t="s">
        <v>194</v>
      </c>
      <c r="C421" s="9" t="s">
        <v>195</v>
      </c>
      <c r="D421" s="9" t="n">
        <v>2</v>
      </c>
      <c r="E421" s="30" t="n">
        <v>161418</v>
      </c>
      <c r="F421" s="30" t="n">
        <v>115784</v>
      </c>
      <c r="G421" s="35" t="n">
        <v>0.717292990868429</v>
      </c>
    </row>
    <row r="422" customFormat="false" ht="15" hidden="false" customHeight="false" outlineLevel="0" collapsed="false">
      <c r="A422" s="25" t="s">
        <v>678</v>
      </c>
      <c r="B422" s="25" t="s">
        <v>194</v>
      </c>
      <c r="C422" s="29" t="s">
        <v>430</v>
      </c>
      <c r="D422" s="29" t="n">
        <v>2</v>
      </c>
      <c r="E422" s="31" t="n">
        <v>161264</v>
      </c>
      <c r="F422" s="31" t="n">
        <v>40280</v>
      </c>
      <c r="G422" s="37" t="n">
        <v>0.249776763567814</v>
      </c>
    </row>
    <row r="423" customFormat="false" ht="15" hidden="false" customHeight="false" outlineLevel="0" collapsed="false">
      <c r="A423" s="20" t="s">
        <v>679</v>
      </c>
      <c r="B423" s="20" t="s">
        <v>194</v>
      </c>
      <c r="C423" s="9" t="s">
        <v>258</v>
      </c>
      <c r="D423" s="9" t="n">
        <v>3</v>
      </c>
      <c r="E423" s="30" t="n">
        <v>160866</v>
      </c>
      <c r="F423" s="30" t="n">
        <v>1509</v>
      </c>
      <c r="G423" s="35" t="n">
        <v>0.0093804781619484</v>
      </c>
    </row>
    <row r="424" customFormat="false" ht="15" hidden="false" customHeight="false" outlineLevel="0" collapsed="false">
      <c r="A424" s="25" t="s">
        <v>680</v>
      </c>
      <c r="B424" s="29" t="s">
        <v>253</v>
      </c>
      <c r="C424" s="29" t="s">
        <v>223</v>
      </c>
      <c r="D424" s="29" t="n">
        <v>3</v>
      </c>
      <c r="E424" s="31" t="n">
        <v>160062</v>
      </c>
      <c r="F424" s="31" t="n">
        <v>41730</v>
      </c>
      <c r="G424" s="37" t="n">
        <v>0.260711474303707</v>
      </c>
    </row>
    <row r="425" customFormat="false" ht="15" hidden="false" customHeight="false" outlineLevel="0" collapsed="false">
      <c r="A425" s="20" t="s">
        <v>681</v>
      </c>
      <c r="B425" s="20" t="s">
        <v>194</v>
      </c>
      <c r="C425" s="9" t="s">
        <v>682</v>
      </c>
      <c r="D425" s="9" t="n">
        <v>6</v>
      </c>
      <c r="E425" s="30" t="n">
        <v>157506</v>
      </c>
      <c r="F425" s="30" t="n">
        <v>45036</v>
      </c>
      <c r="G425" s="35" t="n">
        <v>0.285931964496591</v>
      </c>
    </row>
    <row r="426" customFormat="false" ht="15" hidden="false" customHeight="false" outlineLevel="0" collapsed="false">
      <c r="A426" s="25" t="s">
        <v>683</v>
      </c>
      <c r="B426" s="29" t="s">
        <v>253</v>
      </c>
      <c r="C426" s="29" t="s">
        <v>254</v>
      </c>
      <c r="D426" s="29" t="n">
        <v>30</v>
      </c>
      <c r="E426" s="31" t="n">
        <v>157080</v>
      </c>
      <c r="F426" s="31" t="n">
        <v>74700</v>
      </c>
      <c r="G426" s="37" t="n">
        <v>0.475553857906799</v>
      </c>
    </row>
    <row r="427" customFormat="false" ht="15" hidden="false" customHeight="false" outlineLevel="0" collapsed="false">
      <c r="A427" s="20" t="s">
        <v>684</v>
      </c>
      <c r="B427" s="20" t="s">
        <v>194</v>
      </c>
      <c r="C427" s="9" t="s">
        <v>195</v>
      </c>
      <c r="D427" s="9" t="n">
        <v>35</v>
      </c>
      <c r="E427" s="30" t="n">
        <v>156380</v>
      </c>
      <c r="F427" s="30" t="n">
        <v>36505</v>
      </c>
      <c r="G427" s="35" t="n">
        <v>0.233437779767234</v>
      </c>
    </row>
    <row r="428" customFormat="false" ht="15" hidden="false" customHeight="false" outlineLevel="0" collapsed="false">
      <c r="A428" s="25" t="s">
        <v>685</v>
      </c>
      <c r="B428" s="25" t="s">
        <v>194</v>
      </c>
      <c r="C428" s="29" t="s">
        <v>195</v>
      </c>
      <c r="D428" s="29" t="n">
        <v>32</v>
      </c>
      <c r="E428" s="31" t="n">
        <v>154194</v>
      </c>
      <c r="F428" s="31" t="n">
        <v>9426</v>
      </c>
      <c r="G428" s="37" t="n">
        <v>0.061130783298961</v>
      </c>
    </row>
    <row r="429" customFormat="false" ht="15" hidden="false" customHeight="false" outlineLevel="0" collapsed="false">
      <c r="A429" s="20" t="s">
        <v>686</v>
      </c>
      <c r="B429" s="20" t="s">
        <v>194</v>
      </c>
      <c r="C429" s="9" t="s">
        <v>195</v>
      </c>
      <c r="D429" s="9" t="n">
        <v>5</v>
      </c>
      <c r="E429" s="30" t="n">
        <v>152955</v>
      </c>
      <c r="F429" s="30" t="n">
        <v>18100</v>
      </c>
      <c r="G429" s="35" t="n">
        <v>0.118335458141283</v>
      </c>
    </row>
    <row r="430" customFormat="false" ht="15" hidden="false" customHeight="false" outlineLevel="0" collapsed="false">
      <c r="A430" s="25" t="s">
        <v>687</v>
      </c>
      <c r="B430" s="29" t="s">
        <v>688</v>
      </c>
      <c r="C430" s="29" t="s">
        <v>209</v>
      </c>
      <c r="D430" s="29" t="n">
        <v>284</v>
      </c>
      <c r="E430" s="31" t="n">
        <v>152792</v>
      </c>
      <c r="F430" s="31" t="n">
        <v>22914</v>
      </c>
      <c r="G430" s="37" t="n">
        <v>0.149968584742657</v>
      </c>
    </row>
    <row r="431" customFormat="false" ht="15" hidden="false" customHeight="false" outlineLevel="0" collapsed="false">
      <c r="A431" s="20" t="s">
        <v>689</v>
      </c>
      <c r="B431" s="20" t="s">
        <v>194</v>
      </c>
      <c r="C431" s="9" t="s">
        <v>203</v>
      </c>
      <c r="D431" s="9" t="n">
        <v>120</v>
      </c>
      <c r="E431" s="30" t="n">
        <v>152640</v>
      </c>
      <c r="F431" s="30" t="n">
        <v>114240</v>
      </c>
      <c r="G431" s="35" t="n">
        <v>0.748427672955975</v>
      </c>
    </row>
    <row r="432" customFormat="false" ht="15" hidden="false" customHeight="false" outlineLevel="0" collapsed="false">
      <c r="A432" s="25" t="s">
        <v>690</v>
      </c>
      <c r="B432" s="29" t="s">
        <v>691</v>
      </c>
      <c r="C432" s="29" t="s">
        <v>290</v>
      </c>
      <c r="D432" s="29" t="n">
        <v>2</v>
      </c>
      <c r="E432" s="31" t="n">
        <v>152400</v>
      </c>
      <c r="F432" s="31" t="n">
        <v>92400</v>
      </c>
      <c r="G432" s="37" t="n">
        <v>0.606299212598425</v>
      </c>
    </row>
    <row r="433" customFormat="false" ht="15" hidden="false" customHeight="false" outlineLevel="0" collapsed="false">
      <c r="A433" s="20" t="s">
        <v>692</v>
      </c>
      <c r="B433" s="20" t="s">
        <v>194</v>
      </c>
      <c r="C433" s="9" t="s">
        <v>231</v>
      </c>
      <c r="D433" s="9" t="n">
        <v>13</v>
      </c>
      <c r="E433" s="30" t="n">
        <v>151528</v>
      </c>
      <c r="F433" s="30" t="n">
        <v>16328</v>
      </c>
      <c r="G433" s="35" t="n">
        <v>0.107755662319835</v>
      </c>
    </row>
    <row r="434" customFormat="false" ht="15" hidden="false" customHeight="false" outlineLevel="0" collapsed="false">
      <c r="A434" s="25" t="s">
        <v>693</v>
      </c>
      <c r="B434" s="29" t="s">
        <v>253</v>
      </c>
      <c r="C434" s="29" t="s">
        <v>223</v>
      </c>
      <c r="D434" s="29" t="n">
        <v>33</v>
      </c>
      <c r="E434" s="31" t="n">
        <v>150579</v>
      </c>
      <c r="F434" s="31" t="n">
        <v>9339</v>
      </c>
      <c r="G434" s="37" t="n">
        <v>0.0620206004821389</v>
      </c>
    </row>
    <row r="435" customFormat="false" ht="15" hidden="false" customHeight="false" outlineLevel="0" collapsed="false">
      <c r="A435" s="20" t="s">
        <v>694</v>
      </c>
      <c r="B435" s="20" t="s">
        <v>194</v>
      </c>
      <c r="C435" s="9" t="s">
        <v>203</v>
      </c>
      <c r="D435" s="9" t="n">
        <v>18</v>
      </c>
      <c r="E435" s="30" t="n">
        <v>149868</v>
      </c>
      <c r="F435" s="30" t="n">
        <v>27792</v>
      </c>
      <c r="G435" s="35" t="n">
        <v>0.185443190007206</v>
      </c>
    </row>
    <row r="436" customFormat="false" ht="15" hidden="false" customHeight="false" outlineLevel="0" collapsed="false">
      <c r="A436" s="25" t="s">
        <v>695</v>
      </c>
      <c r="B436" s="25" t="s">
        <v>194</v>
      </c>
      <c r="C436" s="29" t="s">
        <v>203</v>
      </c>
      <c r="D436" s="29" t="n">
        <v>26</v>
      </c>
      <c r="E436" s="31" t="n">
        <v>149760</v>
      </c>
      <c r="F436" s="31" t="n">
        <v>86528</v>
      </c>
      <c r="G436" s="37" t="n">
        <v>0.577777777777778</v>
      </c>
    </row>
    <row r="437" customFormat="false" ht="15" hidden="false" customHeight="false" outlineLevel="0" collapsed="false">
      <c r="A437" s="20" t="s">
        <v>696</v>
      </c>
      <c r="B437" s="20" t="s">
        <v>194</v>
      </c>
      <c r="C437" s="9" t="s">
        <v>203</v>
      </c>
      <c r="D437" s="9" t="n">
        <v>35</v>
      </c>
      <c r="E437" s="30" t="n">
        <v>149450</v>
      </c>
      <c r="F437" s="30" t="n">
        <v>-5985</v>
      </c>
      <c r="G437" s="35" t="n">
        <v>-0.0400468384074941</v>
      </c>
    </row>
    <row r="438" customFormat="false" ht="15" hidden="false" customHeight="false" outlineLevel="0" collapsed="false">
      <c r="A438" s="25" t="s">
        <v>697</v>
      </c>
      <c r="B438" s="25" t="s">
        <v>194</v>
      </c>
      <c r="C438" s="29" t="s">
        <v>217</v>
      </c>
      <c r="D438" s="29" t="n">
        <v>250</v>
      </c>
      <c r="E438" s="31" t="n">
        <v>149000</v>
      </c>
      <c r="F438" s="31" t="n">
        <v>72250</v>
      </c>
      <c r="G438" s="37" t="n">
        <v>0.48489932885906</v>
      </c>
    </row>
    <row r="439" customFormat="false" ht="15" hidden="false" customHeight="false" outlineLevel="0" collapsed="false">
      <c r="A439" s="20" t="s">
        <v>698</v>
      </c>
      <c r="B439" s="9" t="s">
        <v>253</v>
      </c>
      <c r="C439" s="9" t="s">
        <v>223</v>
      </c>
      <c r="D439" s="9" t="n">
        <v>288</v>
      </c>
      <c r="E439" s="30" t="n">
        <v>148032</v>
      </c>
      <c r="F439" s="30" t="n">
        <v>90432</v>
      </c>
      <c r="G439" s="35" t="n">
        <v>0.610894941634241</v>
      </c>
    </row>
    <row r="440" customFormat="false" ht="15" hidden="false" customHeight="false" outlineLevel="0" collapsed="false">
      <c r="A440" s="25" t="s">
        <v>699</v>
      </c>
      <c r="B440" s="29" t="s">
        <v>253</v>
      </c>
      <c r="C440" s="29" t="s">
        <v>297</v>
      </c>
      <c r="D440" s="29" t="n">
        <v>363</v>
      </c>
      <c r="E440" s="31" t="n">
        <v>147737</v>
      </c>
      <c r="F440" s="31" t="n">
        <v>89657</v>
      </c>
      <c r="G440" s="37" t="n">
        <v>0.606868963089815</v>
      </c>
    </row>
    <row r="441" customFormat="false" ht="15" hidden="false" customHeight="false" outlineLevel="0" collapsed="false">
      <c r="A441" s="20" t="s">
        <v>700</v>
      </c>
      <c r="B441" s="20" t="s">
        <v>194</v>
      </c>
      <c r="C441" s="9" t="s">
        <v>223</v>
      </c>
      <c r="D441" s="9" t="n">
        <v>108</v>
      </c>
      <c r="E441" s="30" t="n">
        <v>147636</v>
      </c>
      <c r="F441" s="30" t="n">
        <v>46332</v>
      </c>
      <c r="G441" s="35" t="n">
        <v>0.313825896122897</v>
      </c>
    </row>
    <row r="442" customFormat="false" ht="15" hidden="false" customHeight="false" outlineLevel="0" collapsed="false">
      <c r="A442" s="25" t="s">
        <v>701</v>
      </c>
      <c r="B442" s="25" t="s">
        <v>194</v>
      </c>
      <c r="C442" s="29" t="s">
        <v>203</v>
      </c>
      <c r="D442" s="29" t="n">
        <v>53</v>
      </c>
      <c r="E442" s="31" t="n">
        <v>146598</v>
      </c>
      <c r="F442" s="31" t="n">
        <v>131652</v>
      </c>
      <c r="G442" s="37" t="n">
        <v>0.898047722342733</v>
      </c>
    </row>
    <row r="443" customFormat="false" ht="15" hidden="false" customHeight="false" outlineLevel="0" collapsed="false">
      <c r="A443" s="20" t="s">
        <v>702</v>
      </c>
      <c r="B443" s="20" t="s">
        <v>194</v>
      </c>
      <c r="C443" s="9" t="s">
        <v>223</v>
      </c>
      <c r="D443" s="9" t="n">
        <v>11</v>
      </c>
      <c r="E443" s="30" t="n">
        <v>146223</v>
      </c>
      <c r="F443" s="30" t="n">
        <v>32648</v>
      </c>
      <c r="G443" s="35" t="n">
        <v>0.223275408109531</v>
      </c>
    </row>
    <row r="444" customFormat="false" ht="15" hidden="false" customHeight="false" outlineLevel="0" collapsed="false">
      <c r="A444" s="25" t="s">
        <v>703</v>
      </c>
      <c r="B444" s="25" t="s">
        <v>194</v>
      </c>
      <c r="C444" s="29" t="s">
        <v>380</v>
      </c>
      <c r="D444" s="29" t="n">
        <v>3</v>
      </c>
      <c r="E444" s="31" t="n">
        <v>145092</v>
      </c>
      <c r="F444" s="31" t="n">
        <v>19131</v>
      </c>
      <c r="G444" s="37" t="n">
        <v>0.131854271772393</v>
      </c>
    </row>
    <row r="445" customFormat="false" ht="15" hidden="false" customHeight="false" outlineLevel="0" collapsed="false">
      <c r="A445" s="20" t="s">
        <v>704</v>
      </c>
      <c r="B445" s="9" t="s">
        <v>569</v>
      </c>
      <c r="C445" s="9" t="s">
        <v>229</v>
      </c>
      <c r="D445" s="9" t="n">
        <v>16</v>
      </c>
      <c r="E445" s="30" t="n">
        <v>144000</v>
      </c>
      <c r="F445" s="30" t="n">
        <v>-7216</v>
      </c>
      <c r="G445" s="35" t="n">
        <v>-0.0501111111111111</v>
      </c>
    </row>
    <row r="446" customFormat="false" ht="15" hidden="false" customHeight="false" outlineLevel="0" collapsed="false">
      <c r="A446" s="25" t="s">
        <v>705</v>
      </c>
      <c r="B446" s="25" t="s">
        <v>706</v>
      </c>
      <c r="C446" s="29" t="s">
        <v>290</v>
      </c>
      <c r="D446" s="29" t="n">
        <v>2</v>
      </c>
      <c r="E446" s="31" t="n">
        <v>143744</v>
      </c>
      <c r="F446" s="31" t="n">
        <v>17770</v>
      </c>
      <c r="G446" s="37" t="n">
        <v>0.123622551202137</v>
      </c>
    </row>
    <row r="447" customFormat="false" ht="15" hidden="false" customHeight="false" outlineLevel="0" collapsed="false">
      <c r="A447" s="20" t="s">
        <v>707</v>
      </c>
      <c r="B447" s="20" t="s">
        <v>194</v>
      </c>
      <c r="C447" s="9" t="s">
        <v>206</v>
      </c>
      <c r="D447" s="9" t="n">
        <v>39</v>
      </c>
      <c r="E447" s="30" t="n">
        <v>143208</v>
      </c>
      <c r="F447" s="30" t="n">
        <v>19890</v>
      </c>
      <c r="G447" s="35" t="n">
        <v>0.138888888888889</v>
      </c>
    </row>
    <row r="448" customFormat="false" ht="15" hidden="false" customHeight="false" outlineLevel="0" collapsed="false">
      <c r="A448" s="25" t="s">
        <v>708</v>
      </c>
      <c r="B448" s="25" t="s">
        <v>240</v>
      </c>
      <c r="C448" s="29" t="s">
        <v>676</v>
      </c>
      <c r="D448" s="29" t="n">
        <v>30</v>
      </c>
      <c r="E448" s="31" t="n">
        <v>141570</v>
      </c>
      <c r="F448" s="31" t="n">
        <v>28770</v>
      </c>
      <c r="G448" s="37" t="n">
        <v>0.20322102140284</v>
      </c>
    </row>
    <row r="449" customFormat="false" ht="15" hidden="false" customHeight="false" outlineLevel="0" collapsed="false">
      <c r="A449" s="20" t="s">
        <v>709</v>
      </c>
      <c r="B449" s="20" t="s">
        <v>194</v>
      </c>
      <c r="C449" s="9" t="s">
        <v>254</v>
      </c>
      <c r="D449" s="9" t="n">
        <v>22</v>
      </c>
      <c r="E449" s="30" t="n">
        <v>141570</v>
      </c>
      <c r="F449" s="30" t="n">
        <v>30206</v>
      </c>
      <c r="G449" s="35" t="n">
        <v>0.213364413364413</v>
      </c>
    </row>
    <row r="450" customFormat="false" ht="15" hidden="false" customHeight="false" outlineLevel="0" collapsed="false">
      <c r="A450" s="25" t="s">
        <v>710</v>
      </c>
      <c r="B450" s="25" t="s">
        <v>194</v>
      </c>
      <c r="C450" s="29" t="s">
        <v>195</v>
      </c>
      <c r="D450" s="29" t="n">
        <v>5</v>
      </c>
      <c r="E450" s="31" t="n">
        <v>139240</v>
      </c>
      <c r="F450" s="31" t="n">
        <v>-6130</v>
      </c>
      <c r="G450" s="37" t="n">
        <v>-0.0440247055443838</v>
      </c>
    </row>
    <row r="451" customFormat="false" ht="15" hidden="false" customHeight="false" outlineLevel="0" collapsed="false">
      <c r="A451" s="20" t="s">
        <v>711</v>
      </c>
      <c r="B451" s="20" t="s">
        <v>194</v>
      </c>
      <c r="C451" s="9" t="s">
        <v>195</v>
      </c>
      <c r="D451" s="9" t="n">
        <v>3</v>
      </c>
      <c r="E451" s="30" t="n">
        <v>139077</v>
      </c>
      <c r="F451" s="30" t="n">
        <v>-6396</v>
      </c>
      <c r="G451" s="35" t="n">
        <v>-0.0459889126167518</v>
      </c>
    </row>
    <row r="452" customFormat="false" ht="15" hidden="false" customHeight="false" outlineLevel="0" collapsed="false">
      <c r="A452" s="25" t="s">
        <v>712</v>
      </c>
      <c r="B452" s="29" t="s">
        <v>253</v>
      </c>
      <c r="C452" s="29" t="s">
        <v>223</v>
      </c>
      <c r="D452" s="29" t="n">
        <v>2</v>
      </c>
      <c r="E452" s="31" t="n">
        <v>138436</v>
      </c>
      <c r="F452" s="31" t="n">
        <v>33652</v>
      </c>
      <c r="G452" s="37" t="n">
        <v>0.243087058279638</v>
      </c>
    </row>
    <row r="453" customFormat="false" ht="15" hidden="false" customHeight="false" outlineLevel="0" collapsed="false">
      <c r="A453" s="20" t="s">
        <v>713</v>
      </c>
      <c r="B453" s="20" t="s">
        <v>194</v>
      </c>
      <c r="C453" s="9" t="s">
        <v>203</v>
      </c>
      <c r="D453" s="9" t="n">
        <v>1</v>
      </c>
      <c r="E453" s="30" t="n">
        <v>138400</v>
      </c>
      <c r="F453" s="30" t="n">
        <v>20760</v>
      </c>
      <c r="G453" s="35" t="n">
        <v>0.15</v>
      </c>
    </row>
    <row r="454" customFormat="false" ht="15" hidden="false" customHeight="false" outlineLevel="0" collapsed="false">
      <c r="A454" s="25" t="s">
        <v>714</v>
      </c>
      <c r="B454" s="25" t="s">
        <v>194</v>
      </c>
      <c r="C454" s="29" t="s">
        <v>368</v>
      </c>
      <c r="D454" s="29" t="n">
        <v>5</v>
      </c>
      <c r="E454" s="31" t="n">
        <v>138060</v>
      </c>
      <c r="F454" s="31" t="n">
        <v>-1060</v>
      </c>
      <c r="G454" s="37" t="n">
        <v>-0.0076778212371432</v>
      </c>
    </row>
    <row r="455" customFormat="false" ht="15" hidden="false" customHeight="false" outlineLevel="0" collapsed="false">
      <c r="A455" s="20" t="s">
        <v>715</v>
      </c>
      <c r="B455" s="20" t="s">
        <v>194</v>
      </c>
      <c r="C455" s="9" t="s">
        <v>203</v>
      </c>
      <c r="D455" s="9" t="n">
        <v>34</v>
      </c>
      <c r="E455" s="30" t="n">
        <v>137870</v>
      </c>
      <c r="F455" s="30" t="n">
        <v>110670</v>
      </c>
      <c r="G455" s="35" t="n">
        <v>0.802712700369914</v>
      </c>
    </row>
    <row r="456" customFormat="false" ht="15" hidden="false" customHeight="false" outlineLevel="0" collapsed="false">
      <c r="A456" s="25" t="s">
        <v>716</v>
      </c>
      <c r="B456" s="25" t="s">
        <v>194</v>
      </c>
      <c r="C456" s="29" t="s">
        <v>206</v>
      </c>
      <c r="D456" s="29" t="n">
        <v>22</v>
      </c>
      <c r="E456" s="31" t="n">
        <v>137258</v>
      </c>
      <c r="F456" s="31" t="n">
        <v>10208</v>
      </c>
      <c r="G456" s="37" t="n">
        <v>0.0743708927712774</v>
      </c>
    </row>
    <row r="457" customFormat="false" ht="15" hidden="false" customHeight="false" outlineLevel="0" collapsed="false">
      <c r="A457" s="20" t="s">
        <v>717</v>
      </c>
      <c r="B457" s="20" t="s">
        <v>194</v>
      </c>
      <c r="C457" s="9" t="s">
        <v>203</v>
      </c>
      <c r="D457" s="9" t="n">
        <v>25</v>
      </c>
      <c r="E457" s="30" t="n">
        <v>136400</v>
      </c>
      <c r="F457" s="30" t="n">
        <v>53525</v>
      </c>
      <c r="G457" s="35" t="n">
        <v>0.392412023460411</v>
      </c>
    </row>
    <row r="458" customFormat="false" ht="15" hidden="false" customHeight="false" outlineLevel="0" collapsed="false">
      <c r="A458" s="25" t="s">
        <v>718</v>
      </c>
      <c r="B458" s="25" t="s">
        <v>194</v>
      </c>
      <c r="C458" s="29" t="s">
        <v>203</v>
      </c>
      <c r="D458" s="29" t="n">
        <v>231</v>
      </c>
      <c r="E458" s="31" t="n">
        <v>135828</v>
      </c>
      <c r="F458" s="31" t="n">
        <v>78540</v>
      </c>
      <c r="G458" s="37" t="n">
        <v>0.578231292517007</v>
      </c>
    </row>
    <row r="459" customFormat="false" ht="15" hidden="false" customHeight="false" outlineLevel="0" collapsed="false">
      <c r="A459" s="20" t="s">
        <v>719</v>
      </c>
      <c r="B459" s="20" t="s">
        <v>194</v>
      </c>
      <c r="C459" s="9" t="s">
        <v>430</v>
      </c>
      <c r="D459" s="9" t="n">
        <v>19</v>
      </c>
      <c r="E459" s="30" t="n">
        <v>135356</v>
      </c>
      <c r="F459" s="30" t="n">
        <v>22553</v>
      </c>
      <c r="G459" s="35" t="n">
        <v>0.166619876473891</v>
      </c>
    </row>
    <row r="460" customFormat="false" ht="15" hidden="false" customHeight="false" outlineLevel="0" collapsed="false">
      <c r="A460" s="25" t="s">
        <v>720</v>
      </c>
      <c r="B460" s="29" t="s">
        <v>216</v>
      </c>
      <c r="C460" s="29" t="s">
        <v>428</v>
      </c>
      <c r="D460" s="29" t="n">
        <v>50</v>
      </c>
      <c r="E460" s="31" t="n">
        <v>134150</v>
      </c>
      <c r="F460" s="31" t="n">
        <v>100350</v>
      </c>
      <c r="G460" s="37" t="n">
        <v>0.748043235184495</v>
      </c>
    </row>
    <row r="461" customFormat="false" ht="15" hidden="false" customHeight="false" outlineLevel="0" collapsed="false">
      <c r="A461" s="20" t="s">
        <v>721</v>
      </c>
      <c r="B461" s="20" t="s">
        <v>194</v>
      </c>
      <c r="C461" s="9" t="s">
        <v>334</v>
      </c>
      <c r="D461" s="9" t="n">
        <v>10</v>
      </c>
      <c r="E461" s="30" t="n">
        <v>134050</v>
      </c>
      <c r="F461" s="30" t="n">
        <v>29490</v>
      </c>
      <c r="G461" s="35" t="n">
        <v>0.219992540096979</v>
      </c>
    </row>
    <row r="462" customFormat="false" ht="15" hidden="false" customHeight="false" outlineLevel="0" collapsed="false">
      <c r="A462" s="25" t="s">
        <v>722</v>
      </c>
      <c r="B462" s="29" t="s">
        <v>281</v>
      </c>
      <c r="C462" s="29" t="s">
        <v>197</v>
      </c>
      <c r="D462" s="29" t="n">
        <v>81</v>
      </c>
      <c r="E462" s="31" t="n">
        <v>133164</v>
      </c>
      <c r="F462" s="31" t="n">
        <v>43821</v>
      </c>
      <c r="G462" s="37" t="n">
        <v>0.329075425790754</v>
      </c>
    </row>
    <row r="463" customFormat="false" ht="15" hidden="false" customHeight="false" outlineLevel="0" collapsed="false">
      <c r="A463" s="20" t="s">
        <v>723</v>
      </c>
      <c r="B463" s="9" t="s">
        <v>289</v>
      </c>
      <c r="C463" s="9" t="s">
        <v>290</v>
      </c>
      <c r="D463" s="9" t="n">
        <v>28</v>
      </c>
      <c r="E463" s="30" t="n">
        <v>132636</v>
      </c>
      <c r="F463" s="30" t="n">
        <v>30184</v>
      </c>
      <c r="G463" s="35" t="n">
        <v>0.227570192104708</v>
      </c>
    </row>
    <row r="464" customFormat="false" ht="15" hidden="false" customHeight="false" outlineLevel="0" collapsed="false">
      <c r="A464" s="25" t="s">
        <v>724</v>
      </c>
      <c r="B464" s="25" t="s">
        <v>194</v>
      </c>
      <c r="C464" s="29" t="s">
        <v>485</v>
      </c>
      <c r="D464" s="29" t="n">
        <v>3</v>
      </c>
      <c r="E464" s="31" t="n">
        <v>132432</v>
      </c>
      <c r="F464" s="31" t="n">
        <v>53259</v>
      </c>
      <c r="G464" s="37" t="n">
        <v>0.402161109097499</v>
      </c>
    </row>
    <row r="465" customFormat="false" ht="15" hidden="false" customHeight="false" outlineLevel="0" collapsed="false">
      <c r="A465" s="20" t="s">
        <v>725</v>
      </c>
      <c r="B465" s="20" t="s">
        <v>194</v>
      </c>
      <c r="C465" s="9" t="s">
        <v>203</v>
      </c>
      <c r="D465" s="9" t="n">
        <v>9</v>
      </c>
      <c r="E465" s="30" t="n">
        <v>132291</v>
      </c>
      <c r="F465" s="30" t="n">
        <v>36135</v>
      </c>
      <c r="G465" s="35" t="n">
        <v>0.273147833185931</v>
      </c>
    </row>
    <row r="466" customFormat="false" ht="15" hidden="false" customHeight="false" outlineLevel="0" collapsed="false">
      <c r="A466" s="25" t="s">
        <v>726</v>
      </c>
      <c r="B466" s="25" t="s">
        <v>194</v>
      </c>
      <c r="C466" s="29" t="s">
        <v>195</v>
      </c>
      <c r="D466" s="29" t="n">
        <v>60</v>
      </c>
      <c r="E466" s="31" t="n">
        <v>131717</v>
      </c>
      <c r="F466" s="31" t="n">
        <v>107717</v>
      </c>
      <c r="G466" s="37" t="n">
        <v>0.817791173500763</v>
      </c>
    </row>
    <row r="467" customFormat="false" ht="15" hidden="false" customHeight="false" outlineLevel="0" collapsed="false">
      <c r="A467" s="20" t="s">
        <v>727</v>
      </c>
      <c r="B467" s="20" t="s">
        <v>240</v>
      </c>
      <c r="C467" s="9" t="s">
        <v>368</v>
      </c>
      <c r="D467" s="9" t="n">
        <v>19</v>
      </c>
      <c r="E467" s="30" t="n">
        <v>131271</v>
      </c>
      <c r="F467" s="30" t="n">
        <v>19687</v>
      </c>
      <c r="G467" s="35" t="n">
        <v>0.149972194925002</v>
      </c>
    </row>
    <row r="468" customFormat="false" ht="15" hidden="false" customHeight="false" outlineLevel="0" collapsed="false">
      <c r="A468" s="25" t="s">
        <v>728</v>
      </c>
      <c r="B468" s="29" t="s">
        <v>253</v>
      </c>
      <c r="C468" s="29" t="s">
        <v>254</v>
      </c>
      <c r="D468" s="29" t="n">
        <v>10</v>
      </c>
      <c r="E468" s="31" t="n">
        <v>130510</v>
      </c>
      <c r="F468" s="31" t="n">
        <v>125150</v>
      </c>
      <c r="G468" s="37" t="n">
        <v>0.958930350164738</v>
      </c>
    </row>
    <row r="469" customFormat="false" ht="15" hidden="false" customHeight="false" outlineLevel="0" collapsed="false">
      <c r="A469" s="20" t="s">
        <v>729</v>
      </c>
      <c r="B469" s="20" t="s">
        <v>220</v>
      </c>
      <c r="C469" s="9" t="s">
        <v>217</v>
      </c>
      <c r="D469" s="9" t="n">
        <v>15</v>
      </c>
      <c r="E469" s="30" t="n">
        <v>130215</v>
      </c>
      <c r="F469" s="30" t="n">
        <v>47340</v>
      </c>
      <c r="G469" s="35" t="n">
        <v>0.363552586107591</v>
      </c>
    </row>
    <row r="470" customFormat="false" ht="15" hidden="false" customHeight="false" outlineLevel="0" collapsed="false">
      <c r="A470" s="25" t="s">
        <v>730</v>
      </c>
      <c r="B470" s="25" t="s">
        <v>200</v>
      </c>
      <c r="C470" s="29" t="s">
        <v>223</v>
      </c>
      <c r="D470" s="29" t="n">
        <v>56</v>
      </c>
      <c r="E470" s="31" t="n">
        <v>129752</v>
      </c>
      <c r="F470" s="31" t="n">
        <v>60200</v>
      </c>
      <c r="G470" s="37" t="n">
        <v>0.463962019853259</v>
      </c>
    </row>
    <row r="471" customFormat="false" ht="15" hidden="false" customHeight="false" outlineLevel="0" collapsed="false">
      <c r="A471" s="20" t="s">
        <v>731</v>
      </c>
      <c r="B471" s="20" t="s">
        <v>194</v>
      </c>
      <c r="C471" s="9" t="s">
        <v>206</v>
      </c>
      <c r="D471" s="9" t="n">
        <v>59</v>
      </c>
      <c r="E471" s="30" t="n">
        <v>129505</v>
      </c>
      <c r="F471" s="30" t="n">
        <v>28084</v>
      </c>
      <c r="G471" s="35" t="n">
        <v>0.216856492027335</v>
      </c>
    </row>
    <row r="472" customFormat="false" ht="15" hidden="false" customHeight="false" outlineLevel="0" collapsed="false">
      <c r="A472" s="25" t="s">
        <v>732</v>
      </c>
      <c r="B472" s="25" t="s">
        <v>194</v>
      </c>
      <c r="C472" s="29" t="s">
        <v>231</v>
      </c>
      <c r="D472" s="29" t="n">
        <v>1</v>
      </c>
      <c r="E472" s="31" t="n">
        <v>129093</v>
      </c>
      <c r="F472" s="31" t="n">
        <v>45650</v>
      </c>
      <c r="G472" s="37" t="n">
        <v>0.353621032898763</v>
      </c>
    </row>
    <row r="473" customFormat="false" ht="15" hidden="false" customHeight="false" outlineLevel="0" collapsed="false">
      <c r="A473" s="20" t="s">
        <v>733</v>
      </c>
      <c r="B473" s="20" t="s">
        <v>194</v>
      </c>
      <c r="C473" s="9" t="s">
        <v>368</v>
      </c>
      <c r="D473" s="9" t="n">
        <v>13</v>
      </c>
      <c r="E473" s="30" t="n">
        <v>128167</v>
      </c>
      <c r="F473" s="30" t="n">
        <v>70005</v>
      </c>
      <c r="G473" s="35" t="n">
        <v>0.546201440308348</v>
      </c>
    </row>
    <row r="474" customFormat="false" ht="15" hidden="false" customHeight="false" outlineLevel="0" collapsed="false">
      <c r="A474" s="25" t="s">
        <v>734</v>
      </c>
      <c r="B474" s="25" t="s">
        <v>194</v>
      </c>
      <c r="C474" s="29" t="s">
        <v>195</v>
      </c>
      <c r="D474" s="29" t="n">
        <v>4</v>
      </c>
      <c r="E474" s="31" t="n">
        <v>127912</v>
      </c>
      <c r="F474" s="31" t="n">
        <v>101304</v>
      </c>
      <c r="G474" s="37" t="n">
        <v>0.791981987616486</v>
      </c>
    </row>
    <row r="475" customFormat="false" ht="15" hidden="false" customHeight="false" outlineLevel="0" collapsed="false">
      <c r="A475" s="20" t="s">
        <v>735</v>
      </c>
      <c r="B475" s="20" t="s">
        <v>194</v>
      </c>
      <c r="C475" s="9" t="s">
        <v>195</v>
      </c>
      <c r="D475" s="9" t="n">
        <v>4</v>
      </c>
      <c r="E475" s="30" t="n">
        <v>127756</v>
      </c>
      <c r="F475" s="30" t="n">
        <v>35424</v>
      </c>
      <c r="G475" s="35" t="n">
        <v>0.277278562259307</v>
      </c>
    </row>
    <row r="476" customFormat="false" ht="15" hidden="false" customHeight="false" outlineLevel="0" collapsed="false">
      <c r="A476" s="25" t="s">
        <v>736</v>
      </c>
      <c r="B476" s="25" t="s">
        <v>194</v>
      </c>
      <c r="C476" s="29" t="s">
        <v>223</v>
      </c>
      <c r="D476" s="29" t="n">
        <v>1</v>
      </c>
      <c r="E476" s="31" t="n">
        <v>127556</v>
      </c>
      <c r="F476" s="31" t="n">
        <v>28075</v>
      </c>
      <c r="G476" s="37" t="n">
        <v>0.220099407319138</v>
      </c>
    </row>
    <row r="477" customFormat="false" ht="15" hidden="false" customHeight="false" outlineLevel="0" collapsed="false">
      <c r="A477" s="20" t="s">
        <v>737</v>
      </c>
      <c r="B477" s="20" t="s">
        <v>200</v>
      </c>
      <c r="C477" s="9" t="s">
        <v>297</v>
      </c>
      <c r="D477" s="9" t="n">
        <v>1</v>
      </c>
      <c r="E477" s="30" t="n">
        <v>127206</v>
      </c>
      <c r="F477" s="30" t="n">
        <v>39007</v>
      </c>
      <c r="G477" s="35" t="n">
        <v>0.306644340675754</v>
      </c>
    </row>
    <row r="478" customFormat="false" ht="15" hidden="false" customHeight="false" outlineLevel="0" collapsed="false">
      <c r="A478" s="25" t="s">
        <v>738</v>
      </c>
      <c r="B478" s="25" t="s">
        <v>194</v>
      </c>
      <c r="C478" s="29" t="s">
        <v>386</v>
      </c>
      <c r="D478" s="29" t="n">
        <v>16</v>
      </c>
      <c r="E478" s="31" t="n">
        <v>125712</v>
      </c>
      <c r="F478" s="31" t="n">
        <v>40624</v>
      </c>
      <c r="G478" s="37" t="n">
        <v>0.323151330024182</v>
      </c>
    </row>
    <row r="479" customFormat="false" ht="15" hidden="false" customHeight="false" outlineLevel="0" collapsed="false">
      <c r="A479" s="20" t="s">
        <v>739</v>
      </c>
      <c r="B479" s="20" t="s">
        <v>200</v>
      </c>
      <c r="C479" s="9" t="s">
        <v>223</v>
      </c>
      <c r="D479" s="9" t="n">
        <v>1</v>
      </c>
      <c r="E479" s="30" t="n">
        <v>125640</v>
      </c>
      <c r="F479" s="30" t="n">
        <v>39180</v>
      </c>
      <c r="G479" s="35" t="n">
        <v>0.311843361986629</v>
      </c>
    </row>
    <row r="480" customFormat="false" ht="15" hidden="false" customHeight="false" outlineLevel="0" collapsed="false">
      <c r="A480" s="25" t="s">
        <v>740</v>
      </c>
      <c r="B480" s="25" t="s">
        <v>194</v>
      </c>
      <c r="C480" s="29" t="s">
        <v>334</v>
      </c>
      <c r="D480" s="29" t="n">
        <v>4</v>
      </c>
      <c r="E480" s="31" t="n">
        <v>125364</v>
      </c>
      <c r="F480" s="31" t="n">
        <v>25896</v>
      </c>
      <c r="G480" s="37" t="n">
        <v>0.206566478414856</v>
      </c>
    </row>
    <row r="481" customFormat="false" ht="15" hidden="false" customHeight="false" outlineLevel="0" collapsed="false">
      <c r="A481" s="20" t="s">
        <v>741</v>
      </c>
      <c r="B481" s="9" t="s">
        <v>216</v>
      </c>
      <c r="C481" s="9" t="s">
        <v>428</v>
      </c>
      <c r="D481" s="9" t="n">
        <v>40</v>
      </c>
      <c r="E481" s="30" t="n">
        <v>124320</v>
      </c>
      <c r="F481" s="30" t="n">
        <v>94600</v>
      </c>
      <c r="G481" s="35" t="n">
        <v>0.760939510939511</v>
      </c>
    </row>
    <row r="482" customFormat="false" ht="15" hidden="false" customHeight="false" outlineLevel="0" collapsed="false">
      <c r="A482" s="25" t="s">
        <v>742</v>
      </c>
      <c r="B482" s="25" t="s">
        <v>194</v>
      </c>
      <c r="C482" s="29" t="s">
        <v>209</v>
      </c>
      <c r="D482" s="29" t="n">
        <v>3</v>
      </c>
      <c r="E482" s="31" t="n">
        <v>124038</v>
      </c>
      <c r="F482" s="31" t="n">
        <v>24972</v>
      </c>
      <c r="G482" s="37" t="n">
        <v>0.201325400280559</v>
      </c>
    </row>
    <row r="483" customFormat="false" ht="15" hidden="false" customHeight="false" outlineLevel="0" collapsed="false">
      <c r="A483" s="20" t="s">
        <v>743</v>
      </c>
      <c r="B483" s="20" t="s">
        <v>194</v>
      </c>
      <c r="C483" s="9" t="s">
        <v>209</v>
      </c>
      <c r="D483" s="9" t="n">
        <v>26</v>
      </c>
      <c r="E483" s="30" t="n">
        <v>123162</v>
      </c>
      <c r="F483" s="30" t="n">
        <v>91962</v>
      </c>
      <c r="G483" s="35" t="n">
        <v>0.746675110829639</v>
      </c>
    </row>
    <row r="484" customFormat="false" ht="15" hidden="false" customHeight="false" outlineLevel="0" collapsed="false">
      <c r="A484" s="25" t="s">
        <v>744</v>
      </c>
      <c r="B484" s="25" t="s">
        <v>194</v>
      </c>
      <c r="C484" s="29" t="s">
        <v>195</v>
      </c>
      <c r="D484" s="29" t="n">
        <v>4</v>
      </c>
      <c r="E484" s="31" t="n">
        <v>123144</v>
      </c>
      <c r="F484" s="31" t="n">
        <v>105144</v>
      </c>
      <c r="G484" s="37" t="n">
        <v>0.853829662833756</v>
      </c>
    </row>
    <row r="485" customFormat="false" ht="15" hidden="false" customHeight="false" outlineLevel="0" collapsed="false">
      <c r="A485" s="20" t="s">
        <v>745</v>
      </c>
      <c r="B485" s="9" t="s">
        <v>253</v>
      </c>
      <c r="C485" s="9" t="s">
        <v>254</v>
      </c>
      <c r="D485" s="9" t="n">
        <v>15</v>
      </c>
      <c r="E485" s="30" t="n">
        <v>122130</v>
      </c>
      <c r="F485" s="30" t="n">
        <v>114090</v>
      </c>
      <c r="G485" s="35" t="n">
        <v>0.934168508965856</v>
      </c>
    </row>
    <row r="486" customFormat="false" ht="15" hidden="false" customHeight="false" outlineLevel="0" collapsed="false">
      <c r="A486" s="25" t="s">
        <v>746</v>
      </c>
      <c r="B486" s="25" t="s">
        <v>194</v>
      </c>
      <c r="C486" s="29" t="s">
        <v>231</v>
      </c>
      <c r="D486" s="29" t="n">
        <v>9</v>
      </c>
      <c r="E486" s="31" t="n">
        <v>121851</v>
      </c>
      <c r="F486" s="31" t="n">
        <v>32355</v>
      </c>
      <c r="G486" s="37" t="n">
        <v>0.265529211906345</v>
      </c>
    </row>
    <row r="487" customFormat="false" ht="15" hidden="false" customHeight="false" outlineLevel="0" collapsed="false">
      <c r="A487" s="20" t="s">
        <v>747</v>
      </c>
      <c r="B487" s="20" t="s">
        <v>194</v>
      </c>
      <c r="C487" s="9" t="s">
        <v>195</v>
      </c>
      <c r="D487" s="9" t="n">
        <v>2</v>
      </c>
      <c r="E487" s="30" t="n">
        <v>120758</v>
      </c>
      <c r="F487" s="30" t="n">
        <v>64758</v>
      </c>
      <c r="G487" s="35" t="n">
        <v>0.536262607860349</v>
      </c>
    </row>
    <row r="488" customFormat="false" ht="15" hidden="false" customHeight="false" outlineLevel="0" collapsed="false">
      <c r="A488" s="25" t="s">
        <v>748</v>
      </c>
      <c r="B488" s="25" t="s">
        <v>240</v>
      </c>
      <c r="C488" s="29" t="s">
        <v>223</v>
      </c>
      <c r="D488" s="29" t="n">
        <v>46</v>
      </c>
      <c r="E488" s="31" t="n">
        <v>120750</v>
      </c>
      <c r="F488" s="31" t="n">
        <v>54832</v>
      </c>
      <c r="G488" s="37" t="n">
        <v>0.454095238095238</v>
      </c>
    </row>
    <row r="489" customFormat="false" ht="15" hidden="false" customHeight="false" outlineLevel="0" collapsed="false">
      <c r="A489" s="20" t="s">
        <v>749</v>
      </c>
      <c r="B489" s="20" t="s">
        <v>200</v>
      </c>
      <c r="C489" s="9" t="s">
        <v>229</v>
      </c>
      <c r="D489" s="9" t="n">
        <v>2</v>
      </c>
      <c r="E489" s="30" t="n">
        <v>120260</v>
      </c>
      <c r="F489" s="30" t="n">
        <v>64712</v>
      </c>
      <c r="G489" s="35" t="n">
        <v>0.538100781639781</v>
      </c>
    </row>
    <row r="490" customFormat="false" ht="15" hidden="false" customHeight="false" outlineLevel="0" collapsed="false">
      <c r="A490" s="25" t="s">
        <v>750</v>
      </c>
      <c r="B490" s="25" t="s">
        <v>194</v>
      </c>
      <c r="C490" s="29" t="s">
        <v>203</v>
      </c>
      <c r="D490" s="29" t="n">
        <v>9</v>
      </c>
      <c r="E490" s="31" t="n">
        <v>120060</v>
      </c>
      <c r="F490" s="31" t="n">
        <v>74835</v>
      </c>
      <c r="G490" s="37" t="n">
        <v>0.623313343328336</v>
      </c>
    </row>
    <row r="491" customFormat="false" ht="15" hidden="false" customHeight="false" outlineLevel="0" collapsed="false">
      <c r="A491" s="20" t="s">
        <v>751</v>
      </c>
      <c r="B491" s="9" t="s">
        <v>752</v>
      </c>
      <c r="C491" s="9" t="s">
        <v>368</v>
      </c>
      <c r="D491" s="9" t="n">
        <v>3</v>
      </c>
      <c r="E491" s="30" t="n">
        <v>119583</v>
      </c>
      <c r="F491" s="30" t="n">
        <v>51147</v>
      </c>
      <c r="G491" s="35" t="n">
        <v>0.427711296756228</v>
      </c>
    </row>
    <row r="492" customFormat="false" ht="15" hidden="false" customHeight="false" outlineLevel="0" collapsed="false">
      <c r="A492" s="25" t="s">
        <v>753</v>
      </c>
      <c r="B492" s="25" t="s">
        <v>194</v>
      </c>
      <c r="C492" s="29" t="s">
        <v>197</v>
      </c>
      <c r="D492" s="29" t="n">
        <v>68</v>
      </c>
      <c r="E492" s="31" t="n">
        <v>119204</v>
      </c>
      <c r="F492" s="31" t="n">
        <v>46784</v>
      </c>
      <c r="G492" s="37" t="n">
        <v>0.392470051340559</v>
      </c>
    </row>
    <row r="493" customFormat="false" ht="15" hidden="false" customHeight="false" outlineLevel="0" collapsed="false">
      <c r="A493" s="20" t="s">
        <v>754</v>
      </c>
      <c r="B493" s="20" t="s">
        <v>194</v>
      </c>
      <c r="C493" s="9" t="s">
        <v>195</v>
      </c>
      <c r="D493" s="9" t="n">
        <v>11</v>
      </c>
      <c r="E493" s="30" t="n">
        <v>118172</v>
      </c>
      <c r="F493" s="30" t="n">
        <v>19128</v>
      </c>
      <c r="G493" s="35" t="n">
        <v>0.161865755001185</v>
      </c>
    </row>
    <row r="494" customFormat="false" ht="15" hidden="false" customHeight="false" outlineLevel="0" collapsed="false">
      <c r="A494" s="25" t="s">
        <v>755</v>
      </c>
      <c r="B494" s="25" t="s">
        <v>194</v>
      </c>
      <c r="C494" s="29" t="s">
        <v>309</v>
      </c>
      <c r="D494" s="29" t="n">
        <v>1</v>
      </c>
      <c r="E494" s="31" t="n">
        <v>117977</v>
      </c>
      <c r="F494" s="31" t="n">
        <v>17697</v>
      </c>
      <c r="G494" s="37" t="n">
        <v>0.150003814302788</v>
      </c>
    </row>
    <row r="495" customFormat="false" ht="15" hidden="false" customHeight="false" outlineLevel="0" collapsed="false">
      <c r="A495" s="20" t="s">
        <v>756</v>
      </c>
      <c r="B495" s="20" t="s">
        <v>194</v>
      </c>
      <c r="C495" s="9" t="s">
        <v>203</v>
      </c>
      <c r="D495" s="9" t="n">
        <v>19</v>
      </c>
      <c r="E495" s="30" t="n">
        <v>117952</v>
      </c>
      <c r="F495" s="30" t="n">
        <v>75107</v>
      </c>
      <c r="G495" s="35" t="n">
        <v>0.636759020618557</v>
      </c>
    </row>
    <row r="496" customFormat="false" ht="15" hidden="false" customHeight="false" outlineLevel="0" collapsed="false">
      <c r="A496" s="25" t="s">
        <v>757</v>
      </c>
      <c r="B496" s="25" t="s">
        <v>194</v>
      </c>
      <c r="C496" s="29" t="s">
        <v>334</v>
      </c>
      <c r="D496" s="29" t="n">
        <v>1</v>
      </c>
      <c r="E496" s="31" t="n">
        <v>117499</v>
      </c>
      <c r="F496" s="31" t="n">
        <v>37519</v>
      </c>
      <c r="G496" s="37" t="n">
        <v>0.319313355858348</v>
      </c>
    </row>
    <row r="497" customFormat="false" ht="15" hidden="false" customHeight="false" outlineLevel="0" collapsed="false">
      <c r="A497" s="20" t="s">
        <v>758</v>
      </c>
      <c r="B497" s="20" t="s">
        <v>194</v>
      </c>
      <c r="C497" s="9" t="s">
        <v>197</v>
      </c>
      <c r="D497" s="9" t="n">
        <v>15</v>
      </c>
      <c r="E497" s="30" t="n">
        <v>117195</v>
      </c>
      <c r="F497" s="30" t="n">
        <v>49815</v>
      </c>
      <c r="G497" s="35" t="n">
        <v>0.425060796109049</v>
      </c>
    </row>
    <row r="498" customFormat="false" ht="15" hidden="false" customHeight="false" outlineLevel="0" collapsed="false">
      <c r="A498" s="25" t="s">
        <v>759</v>
      </c>
      <c r="B498" s="25" t="s">
        <v>194</v>
      </c>
      <c r="C498" s="29" t="s">
        <v>380</v>
      </c>
      <c r="D498" s="29" t="n">
        <v>4</v>
      </c>
      <c r="E498" s="31" t="n">
        <v>116836</v>
      </c>
      <c r="F498" s="31" t="n">
        <v>16868</v>
      </c>
      <c r="G498" s="37" t="n">
        <v>0.144373309596357</v>
      </c>
    </row>
    <row r="499" customFormat="false" ht="15" hidden="false" customHeight="false" outlineLevel="0" collapsed="false">
      <c r="A499" s="20" t="s">
        <v>760</v>
      </c>
      <c r="B499" s="20" t="s">
        <v>194</v>
      </c>
      <c r="C499" s="9" t="s">
        <v>197</v>
      </c>
      <c r="D499" s="9" t="n">
        <v>9</v>
      </c>
      <c r="E499" s="30" t="n">
        <v>115533</v>
      </c>
      <c r="F499" s="30" t="n">
        <v>59013</v>
      </c>
      <c r="G499" s="35" t="n">
        <v>0.510789125185012</v>
      </c>
    </row>
    <row r="500" customFormat="false" ht="15" hidden="false" customHeight="false" outlineLevel="0" collapsed="false">
      <c r="A500" s="25" t="s">
        <v>761</v>
      </c>
      <c r="B500" s="25" t="s">
        <v>194</v>
      </c>
      <c r="C500" s="29" t="s">
        <v>258</v>
      </c>
      <c r="D500" s="29" t="n">
        <v>2</v>
      </c>
      <c r="E500" s="31" t="n">
        <v>114944</v>
      </c>
      <c r="F500" s="31" t="n">
        <v>2784</v>
      </c>
      <c r="G500" s="37" t="n">
        <v>0.0242204899777282</v>
      </c>
    </row>
    <row r="501" customFormat="false" ht="15" hidden="false" customHeight="false" outlineLevel="0" collapsed="false">
      <c r="A501" s="20" t="s">
        <v>762</v>
      </c>
      <c r="B501" s="9" t="s">
        <v>253</v>
      </c>
      <c r="C501" s="9" t="s">
        <v>223</v>
      </c>
      <c r="D501" s="9" t="n">
        <v>55</v>
      </c>
      <c r="E501" s="30" t="n">
        <v>114510</v>
      </c>
      <c r="F501" s="30" t="n">
        <v>47245</v>
      </c>
      <c r="G501" s="35" t="n">
        <v>0.412584053794428</v>
      </c>
    </row>
    <row r="502" customFormat="false" ht="15" hidden="false" customHeight="false" outlineLevel="0" collapsed="false">
      <c r="A502" s="25" t="s">
        <v>763</v>
      </c>
      <c r="B502" s="25" t="s">
        <v>194</v>
      </c>
      <c r="C502" s="29" t="s">
        <v>203</v>
      </c>
      <c r="D502" s="29" t="n">
        <v>20</v>
      </c>
      <c r="E502" s="31" t="n">
        <v>114300</v>
      </c>
      <c r="F502" s="31" t="n">
        <v>22020</v>
      </c>
      <c r="G502" s="37" t="n">
        <v>0.192650918635171</v>
      </c>
    </row>
    <row r="503" customFormat="false" ht="15" hidden="false" customHeight="false" outlineLevel="0" collapsed="false">
      <c r="A503" s="20" t="s">
        <v>764</v>
      </c>
      <c r="B503" s="20" t="s">
        <v>194</v>
      </c>
      <c r="C503" s="9" t="s">
        <v>391</v>
      </c>
      <c r="D503" s="9" t="n">
        <v>4</v>
      </c>
      <c r="E503" s="30" t="n">
        <v>114164</v>
      </c>
      <c r="F503" s="30" t="n">
        <v>36984</v>
      </c>
      <c r="G503" s="35" t="n">
        <v>0.323955012087874</v>
      </c>
    </row>
    <row r="504" customFormat="false" ht="15" hidden="false" customHeight="false" outlineLevel="0" collapsed="false">
      <c r="A504" s="25" t="s">
        <v>765</v>
      </c>
      <c r="B504" s="25" t="s">
        <v>240</v>
      </c>
      <c r="C504" s="29" t="s">
        <v>229</v>
      </c>
      <c r="D504" s="29" t="n">
        <v>6</v>
      </c>
      <c r="E504" s="31" t="n">
        <v>113562</v>
      </c>
      <c r="F504" s="31" t="n">
        <v>32928</v>
      </c>
      <c r="G504" s="37" t="n">
        <v>0.289956147302795</v>
      </c>
    </row>
    <row r="505" customFormat="false" ht="15" hidden="false" customHeight="false" outlineLevel="0" collapsed="false">
      <c r="A505" s="20" t="s">
        <v>766</v>
      </c>
      <c r="B505" s="20" t="s">
        <v>220</v>
      </c>
      <c r="C505" s="9" t="s">
        <v>258</v>
      </c>
      <c r="D505" s="9" t="n">
        <v>2</v>
      </c>
      <c r="E505" s="30" t="n">
        <v>113188</v>
      </c>
      <c r="F505" s="30" t="n">
        <v>20440</v>
      </c>
      <c r="G505" s="35" t="n">
        <v>0.180584514259462</v>
      </c>
    </row>
    <row r="506" customFormat="false" ht="15" hidden="false" customHeight="false" outlineLevel="0" collapsed="false">
      <c r="A506" s="25" t="s">
        <v>767</v>
      </c>
      <c r="B506" s="25" t="s">
        <v>194</v>
      </c>
      <c r="C506" s="29" t="s">
        <v>768</v>
      </c>
      <c r="D506" s="29" t="n">
        <v>11</v>
      </c>
      <c r="E506" s="31" t="n">
        <v>112479</v>
      </c>
      <c r="F506" s="31" t="n">
        <v>-4286</v>
      </c>
      <c r="G506" s="37" t="n">
        <v>-0.0381048906907067</v>
      </c>
    </row>
    <row r="507" customFormat="false" ht="15" hidden="false" customHeight="false" outlineLevel="0" collapsed="false">
      <c r="A507" s="20" t="s">
        <v>769</v>
      </c>
      <c r="B507" s="20" t="s">
        <v>547</v>
      </c>
      <c r="C507" s="9" t="s">
        <v>355</v>
      </c>
      <c r="D507" s="9" t="n">
        <v>3</v>
      </c>
      <c r="E507" s="30" t="n">
        <v>112416</v>
      </c>
      <c r="F507" s="30" t="n">
        <v>28881</v>
      </c>
      <c r="G507" s="35" t="n">
        <v>0.256911827497865</v>
      </c>
    </row>
    <row r="508" customFormat="false" ht="15" hidden="false" customHeight="false" outlineLevel="0" collapsed="false">
      <c r="A508" s="25" t="s">
        <v>770</v>
      </c>
      <c r="B508" s="25" t="s">
        <v>194</v>
      </c>
      <c r="C508" s="29" t="s">
        <v>217</v>
      </c>
      <c r="D508" s="29" t="n">
        <v>8</v>
      </c>
      <c r="E508" s="31" t="n">
        <v>112232</v>
      </c>
      <c r="F508" s="31" t="n">
        <v>24152</v>
      </c>
      <c r="G508" s="37" t="n">
        <v>0.215197091738542</v>
      </c>
    </row>
    <row r="509" customFormat="false" ht="15" hidden="false" customHeight="false" outlineLevel="0" collapsed="false">
      <c r="A509" s="20" t="s">
        <v>771</v>
      </c>
      <c r="B509" s="9" t="s">
        <v>772</v>
      </c>
      <c r="C509" s="9" t="s">
        <v>290</v>
      </c>
      <c r="D509" s="9" t="n">
        <v>15</v>
      </c>
      <c r="E509" s="30" t="n">
        <v>111540</v>
      </c>
      <c r="F509" s="30" t="n">
        <v>44625</v>
      </c>
      <c r="G509" s="35" t="n">
        <v>0.400080688542227</v>
      </c>
    </row>
    <row r="510" customFormat="false" ht="15" hidden="false" customHeight="false" outlineLevel="0" collapsed="false">
      <c r="A510" s="25" t="s">
        <v>773</v>
      </c>
      <c r="B510" s="25" t="s">
        <v>774</v>
      </c>
      <c r="C510" s="29" t="s">
        <v>297</v>
      </c>
      <c r="D510" s="29" t="n">
        <v>570</v>
      </c>
      <c r="E510" s="31" t="n">
        <v>111530</v>
      </c>
      <c r="F510" s="31" t="n">
        <v>16725</v>
      </c>
      <c r="G510" s="37" t="n">
        <v>0.14995965211154</v>
      </c>
    </row>
    <row r="511" customFormat="false" ht="15" hidden="false" customHeight="false" outlineLevel="0" collapsed="false">
      <c r="A511" s="20" t="s">
        <v>775</v>
      </c>
      <c r="B511" s="20" t="s">
        <v>776</v>
      </c>
      <c r="C511" s="9" t="s">
        <v>334</v>
      </c>
      <c r="D511" s="9" t="n">
        <v>4</v>
      </c>
      <c r="E511" s="30" t="n">
        <v>111020</v>
      </c>
      <c r="F511" s="30" t="n">
        <v>16653</v>
      </c>
      <c r="G511" s="35" t="n">
        <v>0.15</v>
      </c>
    </row>
    <row r="512" customFormat="false" ht="15" hidden="false" customHeight="false" outlineLevel="0" collapsed="false">
      <c r="A512" s="25" t="s">
        <v>777</v>
      </c>
      <c r="B512" s="29" t="s">
        <v>281</v>
      </c>
      <c r="C512" s="29" t="s">
        <v>197</v>
      </c>
      <c r="D512" s="29" t="n">
        <v>81</v>
      </c>
      <c r="E512" s="31" t="n">
        <v>110646</v>
      </c>
      <c r="F512" s="31" t="n">
        <v>68445</v>
      </c>
      <c r="G512" s="37" t="n">
        <v>0.618594436310395</v>
      </c>
    </row>
    <row r="513" customFormat="false" ht="15" hidden="false" customHeight="false" outlineLevel="0" collapsed="false">
      <c r="A513" s="20" t="s">
        <v>778</v>
      </c>
      <c r="B513" s="20" t="s">
        <v>200</v>
      </c>
      <c r="C513" s="9" t="s">
        <v>779</v>
      </c>
      <c r="D513" s="9" t="n">
        <v>24</v>
      </c>
      <c r="E513" s="30" t="n">
        <v>110400</v>
      </c>
      <c r="F513" s="30" t="n">
        <v>93600</v>
      </c>
      <c r="G513" s="35" t="n">
        <v>0.847826086956522</v>
      </c>
    </row>
    <row r="514" customFormat="false" ht="15" hidden="false" customHeight="false" outlineLevel="0" collapsed="false">
      <c r="A514" s="25" t="s">
        <v>780</v>
      </c>
      <c r="B514" s="25" t="s">
        <v>194</v>
      </c>
      <c r="C514" s="29" t="s">
        <v>297</v>
      </c>
      <c r="D514" s="29" t="n">
        <v>71</v>
      </c>
      <c r="E514" s="31" t="n">
        <v>110380</v>
      </c>
      <c r="F514" s="31" t="n">
        <v>36185</v>
      </c>
      <c r="G514" s="37" t="n">
        <v>0.327822069215438</v>
      </c>
    </row>
    <row r="515" customFormat="false" ht="15" hidden="false" customHeight="false" outlineLevel="0" collapsed="false">
      <c r="A515" s="20" t="s">
        <v>781</v>
      </c>
      <c r="B515" s="9" t="s">
        <v>216</v>
      </c>
      <c r="C515" s="9" t="s">
        <v>428</v>
      </c>
      <c r="D515" s="9" t="n">
        <v>20</v>
      </c>
      <c r="E515" s="30" t="n">
        <v>109560</v>
      </c>
      <c r="F515" s="30" t="n">
        <v>25880</v>
      </c>
      <c r="G515" s="35" t="n">
        <v>0.236217597663381</v>
      </c>
    </row>
    <row r="516" customFormat="false" ht="15" hidden="false" customHeight="false" outlineLevel="0" collapsed="false">
      <c r="A516" s="25" t="s">
        <v>782</v>
      </c>
      <c r="B516" s="25" t="s">
        <v>194</v>
      </c>
      <c r="C516" s="29" t="s">
        <v>203</v>
      </c>
      <c r="D516" s="29" t="n">
        <v>100</v>
      </c>
      <c r="E516" s="31" t="n">
        <v>109500</v>
      </c>
      <c r="F516" s="31" t="n">
        <v>80800</v>
      </c>
      <c r="G516" s="37" t="n">
        <v>0.737899543378995</v>
      </c>
    </row>
    <row r="517" customFormat="false" ht="15" hidden="false" customHeight="false" outlineLevel="0" collapsed="false">
      <c r="A517" s="20" t="s">
        <v>783</v>
      </c>
      <c r="B517" s="20" t="s">
        <v>194</v>
      </c>
      <c r="C517" s="9" t="s">
        <v>231</v>
      </c>
      <c r="D517" s="9" t="n">
        <v>31</v>
      </c>
      <c r="E517" s="30" t="n">
        <v>109151</v>
      </c>
      <c r="F517" s="30" t="n">
        <v>42346</v>
      </c>
      <c r="G517" s="35" t="n">
        <v>0.387957966486794</v>
      </c>
    </row>
    <row r="518" customFormat="false" ht="15" hidden="false" customHeight="false" outlineLevel="0" collapsed="false">
      <c r="A518" s="25" t="s">
        <v>784</v>
      </c>
      <c r="B518" s="25" t="s">
        <v>194</v>
      </c>
      <c r="C518" s="29" t="s">
        <v>217</v>
      </c>
      <c r="D518" s="29" t="n">
        <v>20</v>
      </c>
      <c r="E518" s="31" t="n">
        <v>108360</v>
      </c>
      <c r="F518" s="31" t="n">
        <v>32180</v>
      </c>
      <c r="G518" s="37" t="n">
        <v>0.296973052787006</v>
      </c>
    </row>
    <row r="519" customFormat="false" ht="15" hidden="false" customHeight="false" outlineLevel="0" collapsed="false">
      <c r="A519" s="20" t="s">
        <v>785</v>
      </c>
      <c r="B519" s="20" t="s">
        <v>194</v>
      </c>
      <c r="C519" s="9" t="s">
        <v>203</v>
      </c>
      <c r="D519" s="9" t="n">
        <v>9</v>
      </c>
      <c r="E519" s="30" t="n">
        <v>108135</v>
      </c>
      <c r="F519" s="30" t="n">
        <v>22563</v>
      </c>
      <c r="G519" s="35" t="n">
        <v>0.208655846858094</v>
      </c>
    </row>
    <row r="520" customFormat="false" ht="15" hidden="false" customHeight="false" outlineLevel="0" collapsed="false">
      <c r="A520" s="25" t="s">
        <v>786</v>
      </c>
      <c r="B520" s="25" t="s">
        <v>194</v>
      </c>
      <c r="C520" s="29" t="s">
        <v>297</v>
      </c>
      <c r="D520" s="29" t="n">
        <v>1</v>
      </c>
      <c r="E520" s="31" t="n">
        <v>107717</v>
      </c>
      <c r="F520" s="31" t="n">
        <v>39841</v>
      </c>
      <c r="G520" s="37" t="n">
        <v>0.369867337560459</v>
      </c>
    </row>
    <row r="521" customFormat="false" ht="15" hidden="false" customHeight="false" outlineLevel="0" collapsed="false">
      <c r="A521" s="20" t="s">
        <v>787</v>
      </c>
      <c r="B521" s="20" t="s">
        <v>194</v>
      </c>
      <c r="C521" s="9" t="s">
        <v>203</v>
      </c>
      <c r="D521" s="9" t="n">
        <v>21</v>
      </c>
      <c r="E521" s="30" t="n">
        <v>107217</v>
      </c>
      <c r="F521" s="30" t="n">
        <v>76389</v>
      </c>
      <c r="G521" s="35" t="n">
        <v>0.712470970088699</v>
      </c>
    </row>
    <row r="522" customFormat="false" ht="15" hidden="false" customHeight="false" outlineLevel="0" collapsed="false">
      <c r="A522" s="25" t="s">
        <v>788</v>
      </c>
      <c r="B522" s="25" t="s">
        <v>194</v>
      </c>
      <c r="C522" s="29" t="s">
        <v>195</v>
      </c>
      <c r="D522" s="29" t="n">
        <v>11</v>
      </c>
      <c r="E522" s="31" t="n">
        <v>107129</v>
      </c>
      <c r="F522" s="31" t="n">
        <v>29843</v>
      </c>
      <c r="G522" s="37" t="n">
        <v>0.278570695143239</v>
      </c>
    </row>
    <row r="523" customFormat="false" ht="15" hidden="false" customHeight="false" outlineLevel="0" collapsed="false">
      <c r="A523" s="20" t="s">
        <v>789</v>
      </c>
      <c r="B523" s="20" t="s">
        <v>194</v>
      </c>
      <c r="C523" s="9" t="s">
        <v>790</v>
      </c>
      <c r="D523" s="9" t="n">
        <v>12</v>
      </c>
      <c r="E523" s="30" t="n">
        <v>106752</v>
      </c>
      <c r="F523" s="30" t="n">
        <v>30768</v>
      </c>
      <c r="G523" s="35" t="n">
        <v>0.288219424460432</v>
      </c>
    </row>
    <row r="524" customFormat="false" ht="15" hidden="false" customHeight="false" outlineLevel="0" collapsed="false">
      <c r="A524" s="25" t="s">
        <v>791</v>
      </c>
      <c r="B524" s="29" t="s">
        <v>253</v>
      </c>
      <c r="C524" s="29" t="s">
        <v>428</v>
      </c>
      <c r="D524" s="29" t="n">
        <v>2</v>
      </c>
      <c r="E524" s="31" t="n">
        <v>106100</v>
      </c>
      <c r="F524" s="31" t="n">
        <v>22660</v>
      </c>
      <c r="G524" s="37" t="n">
        <v>0.213572101790763</v>
      </c>
    </row>
    <row r="525" customFormat="false" ht="15" hidden="false" customHeight="false" outlineLevel="0" collapsed="false">
      <c r="A525" s="20" t="s">
        <v>792</v>
      </c>
      <c r="B525" s="20" t="s">
        <v>194</v>
      </c>
      <c r="C525" s="9" t="s">
        <v>195</v>
      </c>
      <c r="D525" s="9" t="n">
        <v>3</v>
      </c>
      <c r="E525" s="30" t="n">
        <v>106053</v>
      </c>
      <c r="F525" s="30" t="n">
        <v>19722</v>
      </c>
      <c r="G525" s="35" t="n">
        <v>0.185963621962604</v>
      </c>
    </row>
    <row r="526" customFormat="false" ht="15" hidden="false" customHeight="false" outlineLevel="0" collapsed="false">
      <c r="A526" s="25" t="s">
        <v>793</v>
      </c>
      <c r="B526" s="25" t="s">
        <v>194</v>
      </c>
      <c r="C526" s="29" t="s">
        <v>355</v>
      </c>
      <c r="D526" s="29" t="n">
        <v>5</v>
      </c>
      <c r="E526" s="31" t="n">
        <v>105825</v>
      </c>
      <c r="F526" s="31" t="n">
        <v>-17695</v>
      </c>
      <c r="G526" s="37" t="n">
        <v>-0.167210016536735</v>
      </c>
    </row>
    <row r="527" customFormat="false" ht="15" hidden="false" customHeight="false" outlineLevel="0" collapsed="false">
      <c r="A527" s="20" t="s">
        <v>794</v>
      </c>
      <c r="B527" s="20" t="s">
        <v>200</v>
      </c>
      <c r="C527" s="9" t="s">
        <v>201</v>
      </c>
      <c r="D527" s="9" t="n">
        <v>3</v>
      </c>
      <c r="E527" s="30" t="n">
        <v>105666</v>
      </c>
      <c r="F527" s="30" t="n">
        <v>29655</v>
      </c>
      <c r="G527" s="35" t="n">
        <v>0.280648458349895</v>
      </c>
    </row>
    <row r="528" customFormat="false" ht="15" hidden="false" customHeight="false" outlineLevel="0" collapsed="false">
      <c r="A528" s="25" t="s">
        <v>795</v>
      </c>
      <c r="B528" s="29" t="s">
        <v>796</v>
      </c>
      <c r="C528" s="29" t="s">
        <v>290</v>
      </c>
      <c r="D528" s="29" t="n">
        <v>15</v>
      </c>
      <c r="E528" s="31" t="n">
        <v>105555</v>
      </c>
      <c r="F528" s="31" t="n">
        <v>42225</v>
      </c>
      <c r="G528" s="37" t="n">
        <v>0.400028421202217</v>
      </c>
    </row>
    <row r="529" customFormat="false" ht="15" hidden="false" customHeight="false" outlineLevel="0" collapsed="false">
      <c r="A529" s="20" t="s">
        <v>797</v>
      </c>
      <c r="B529" s="20" t="s">
        <v>194</v>
      </c>
      <c r="C529" s="9" t="s">
        <v>334</v>
      </c>
      <c r="D529" s="9" t="n">
        <v>10</v>
      </c>
      <c r="E529" s="30" t="n">
        <v>105460</v>
      </c>
      <c r="F529" s="30" t="n">
        <v>23200</v>
      </c>
      <c r="G529" s="35" t="n">
        <v>0.21998862127821</v>
      </c>
    </row>
    <row r="530" customFormat="false" ht="15" hidden="false" customHeight="false" outlineLevel="0" collapsed="false">
      <c r="A530" s="25" t="s">
        <v>798</v>
      </c>
      <c r="B530" s="25" t="s">
        <v>194</v>
      </c>
      <c r="C530" s="29" t="s">
        <v>203</v>
      </c>
      <c r="D530" s="29" t="n">
        <v>14</v>
      </c>
      <c r="E530" s="31" t="n">
        <v>105397</v>
      </c>
      <c r="F530" s="31" t="n">
        <v>87757</v>
      </c>
      <c r="G530" s="37" t="n">
        <v>0.83263280738541</v>
      </c>
    </row>
    <row r="531" customFormat="false" ht="15" hidden="false" customHeight="false" outlineLevel="0" collapsed="false">
      <c r="A531" s="20" t="s">
        <v>799</v>
      </c>
      <c r="B531" s="20" t="s">
        <v>194</v>
      </c>
      <c r="C531" s="9" t="s">
        <v>203</v>
      </c>
      <c r="D531" s="9" t="n">
        <v>2</v>
      </c>
      <c r="E531" s="30" t="n">
        <v>104936</v>
      </c>
      <c r="F531" s="30" t="n">
        <v>23332</v>
      </c>
      <c r="G531" s="35" t="n">
        <v>0.22234504841046</v>
      </c>
    </row>
    <row r="532" customFormat="false" ht="15" hidden="false" customHeight="false" outlineLevel="0" collapsed="false">
      <c r="A532" s="25" t="s">
        <v>800</v>
      </c>
      <c r="B532" s="25" t="s">
        <v>194</v>
      </c>
      <c r="C532" s="29" t="s">
        <v>217</v>
      </c>
      <c r="D532" s="29" t="n">
        <v>4</v>
      </c>
      <c r="E532" s="31" t="n">
        <v>104668</v>
      </c>
      <c r="F532" s="31" t="n">
        <v>14684</v>
      </c>
      <c r="G532" s="37" t="n">
        <v>0.140291206481446</v>
      </c>
    </row>
    <row r="533" customFormat="false" ht="15" hidden="false" customHeight="false" outlineLevel="0" collapsed="false">
      <c r="A533" s="20" t="s">
        <v>801</v>
      </c>
      <c r="B533" s="20" t="s">
        <v>194</v>
      </c>
      <c r="C533" s="9" t="s">
        <v>223</v>
      </c>
      <c r="D533" s="9" t="n">
        <v>20</v>
      </c>
      <c r="E533" s="30" t="n">
        <v>104200</v>
      </c>
      <c r="F533" s="30" t="n">
        <v>33640</v>
      </c>
      <c r="G533" s="35" t="n">
        <v>0.322840690978887</v>
      </c>
    </row>
    <row r="534" customFormat="false" ht="15" hidden="false" customHeight="false" outlineLevel="0" collapsed="false">
      <c r="A534" s="25" t="s">
        <v>802</v>
      </c>
      <c r="B534" s="25" t="s">
        <v>194</v>
      </c>
      <c r="C534" s="29" t="s">
        <v>297</v>
      </c>
      <c r="D534" s="29" t="n">
        <v>17</v>
      </c>
      <c r="E534" s="31" t="n">
        <v>103802</v>
      </c>
      <c r="F534" s="31" t="n">
        <v>58378</v>
      </c>
      <c r="G534" s="37" t="n">
        <v>0.562397641663937</v>
      </c>
    </row>
    <row r="535" customFormat="false" ht="15" hidden="false" customHeight="false" outlineLevel="0" collapsed="false">
      <c r="A535" s="20" t="s">
        <v>803</v>
      </c>
      <c r="B535" s="20" t="s">
        <v>200</v>
      </c>
      <c r="C535" s="9" t="s">
        <v>368</v>
      </c>
      <c r="D535" s="9" t="n">
        <v>9</v>
      </c>
      <c r="E535" s="30" t="n">
        <v>103437</v>
      </c>
      <c r="F535" s="30" t="n">
        <v>-39060</v>
      </c>
      <c r="G535" s="35" t="n">
        <v>-0.377621160706517</v>
      </c>
    </row>
    <row r="536" customFormat="false" ht="15" hidden="false" customHeight="false" outlineLevel="0" collapsed="false">
      <c r="A536" s="25" t="s">
        <v>804</v>
      </c>
      <c r="B536" s="25" t="s">
        <v>200</v>
      </c>
      <c r="C536" s="29" t="s">
        <v>297</v>
      </c>
      <c r="D536" s="29" t="n">
        <v>1</v>
      </c>
      <c r="E536" s="31" t="n">
        <v>103268</v>
      </c>
      <c r="F536" s="31" t="n">
        <v>40045</v>
      </c>
      <c r="G536" s="37" t="n">
        <v>0.387777433474067</v>
      </c>
    </row>
    <row r="537" customFormat="false" ht="15" hidden="false" customHeight="false" outlineLevel="0" collapsed="false">
      <c r="A537" s="20" t="s">
        <v>805</v>
      </c>
      <c r="B537" s="9" t="s">
        <v>253</v>
      </c>
      <c r="C537" s="9" t="s">
        <v>254</v>
      </c>
      <c r="D537" s="9" t="n">
        <v>10</v>
      </c>
      <c r="E537" s="30" t="n">
        <v>102330</v>
      </c>
      <c r="F537" s="30" t="n">
        <v>97130</v>
      </c>
      <c r="G537" s="35" t="n">
        <v>0.949184012508551</v>
      </c>
    </row>
    <row r="538" customFormat="false" ht="15" hidden="false" customHeight="false" outlineLevel="0" collapsed="false">
      <c r="A538" s="25" t="s">
        <v>806</v>
      </c>
      <c r="B538" s="25" t="s">
        <v>194</v>
      </c>
      <c r="C538" s="29" t="s">
        <v>334</v>
      </c>
      <c r="D538" s="29" t="n">
        <v>42</v>
      </c>
      <c r="E538" s="31" t="n">
        <v>102270</v>
      </c>
      <c r="F538" s="31" t="n">
        <v>95970</v>
      </c>
      <c r="G538" s="37" t="n">
        <v>0.938398357289528</v>
      </c>
    </row>
    <row r="539" customFormat="false" ht="15" hidden="false" customHeight="false" outlineLevel="0" collapsed="false">
      <c r="A539" s="20" t="s">
        <v>807</v>
      </c>
      <c r="B539" s="20" t="s">
        <v>200</v>
      </c>
      <c r="C539" s="9" t="s">
        <v>297</v>
      </c>
      <c r="D539" s="9" t="n">
        <v>1</v>
      </c>
      <c r="E539" s="30" t="n">
        <v>102018</v>
      </c>
      <c r="F539" s="30" t="n">
        <v>32656</v>
      </c>
      <c r="G539" s="35" t="n">
        <v>0.320100374443726</v>
      </c>
    </row>
    <row r="540" customFormat="false" ht="15" hidden="false" customHeight="false" outlineLevel="0" collapsed="false">
      <c r="A540" s="25" t="s">
        <v>808</v>
      </c>
      <c r="B540" s="25" t="s">
        <v>194</v>
      </c>
      <c r="C540" s="29" t="s">
        <v>439</v>
      </c>
      <c r="D540" s="29" t="n">
        <v>2</v>
      </c>
      <c r="E540" s="31" t="n">
        <v>101618</v>
      </c>
      <c r="F540" s="31" t="n">
        <v>31394</v>
      </c>
      <c r="G540" s="37" t="n">
        <v>0.308941329292055</v>
      </c>
    </row>
    <row r="541" customFormat="false" ht="15" hidden="false" customHeight="false" outlineLevel="0" collapsed="false">
      <c r="A541" s="20" t="s">
        <v>809</v>
      </c>
      <c r="B541" s="20" t="s">
        <v>194</v>
      </c>
      <c r="C541" s="9" t="s">
        <v>203</v>
      </c>
      <c r="D541" s="9" t="n">
        <v>11</v>
      </c>
      <c r="E541" s="30" t="n">
        <v>100694</v>
      </c>
      <c r="F541" s="30" t="n">
        <v>49522</v>
      </c>
      <c r="G541" s="35" t="n">
        <v>0.491806860388901</v>
      </c>
    </row>
    <row r="542" customFormat="false" ht="15" hidden="false" customHeight="false" outlineLevel="0" collapsed="false">
      <c r="A542" s="25" t="s">
        <v>810</v>
      </c>
      <c r="B542" s="25" t="s">
        <v>194</v>
      </c>
      <c r="C542" s="29" t="s">
        <v>439</v>
      </c>
      <c r="D542" s="29" t="n">
        <v>1</v>
      </c>
      <c r="E542" s="31" t="n">
        <v>100544</v>
      </c>
      <c r="F542" s="31" t="n">
        <v>60819</v>
      </c>
      <c r="G542" s="37" t="n">
        <v>0.604899347549332</v>
      </c>
    </row>
    <row r="543" customFormat="false" ht="15" hidden="false" customHeight="false" outlineLevel="0" collapsed="false">
      <c r="A543" s="20" t="s">
        <v>811</v>
      </c>
      <c r="B543" s="9" t="s">
        <v>253</v>
      </c>
      <c r="C543" s="9" t="s">
        <v>428</v>
      </c>
      <c r="D543" s="9" t="n">
        <v>50</v>
      </c>
      <c r="E543" s="30" t="n">
        <v>100500</v>
      </c>
      <c r="F543" s="30" t="n">
        <v>49000</v>
      </c>
      <c r="G543" s="35" t="n">
        <v>0.487562189054726</v>
      </c>
    </row>
    <row r="544" customFormat="false" ht="15" hidden="false" customHeight="false" outlineLevel="0" collapsed="false">
      <c r="A544" s="25" t="s">
        <v>812</v>
      </c>
      <c r="B544" s="25" t="s">
        <v>194</v>
      </c>
      <c r="C544" s="29" t="s">
        <v>203</v>
      </c>
      <c r="D544" s="29" t="n">
        <v>4</v>
      </c>
      <c r="E544" s="31" t="n">
        <v>100480</v>
      </c>
      <c r="F544" s="31" t="n">
        <v>-1164</v>
      </c>
      <c r="G544" s="37" t="n">
        <v>-0.0115843949044585</v>
      </c>
    </row>
    <row r="545" customFormat="false" ht="15" hidden="false" customHeight="false" outlineLevel="0" collapsed="false">
      <c r="A545" s="20" t="s">
        <v>813</v>
      </c>
      <c r="B545" s="20" t="s">
        <v>194</v>
      </c>
      <c r="C545" s="9" t="s">
        <v>479</v>
      </c>
      <c r="D545" s="9" t="n">
        <v>4</v>
      </c>
      <c r="E545" s="30" t="n">
        <v>100216</v>
      </c>
      <c r="F545" s="30" t="n">
        <v>36824</v>
      </c>
      <c r="G545" s="35" t="n">
        <v>0.367446315957532</v>
      </c>
    </row>
    <row r="546" customFormat="false" ht="15" hidden="false" customHeight="false" outlineLevel="0" collapsed="false">
      <c r="A546" s="25" t="s">
        <v>814</v>
      </c>
      <c r="B546" s="29" t="s">
        <v>216</v>
      </c>
      <c r="C546" s="29" t="s">
        <v>428</v>
      </c>
      <c r="D546" s="29" t="n">
        <v>3</v>
      </c>
      <c r="E546" s="31" t="n">
        <v>100200</v>
      </c>
      <c r="F546" s="31" t="n">
        <v>92235</v>
      </c>
      <c r="G546" s="37" t="n">
        <v>0.920508982035928</v>
      </c>
    </row>
    <row r="547" customFormat="false" ht="15" hidden="false" customHeight="false" outlineLevel="0" collapsed="false">
      <c r="A547" s="20" t="s">
        <v>815</v>
      </c>
      <c r="B547" s="20" t="s">
        <v>240</v>
      </c>
      <c r="C547" s="9" t="s">
        <v>439</v>
      </c>
      <c r="D547" s="9" t="n">
        <v>1</v>
      </c>
      <c r="E547" s="30" t="n">
        <v>99938</v>
      </c>
      <c r="F547" s="30" t="n">
        <v>73319</v>
      </c>
      <c r="G547" s="35" t="n">
        <v>0.733644859813084</v>
      </c>
    </row>
    <row r="548" customFormat="false" ht="15" hidden="false" customHeight="false" outlineLevel="0" collapsed="false">
      <c r="A548" s="25" t="s">
        <v>816</v>
      </c>
      <c r="B548" s="25" t="s">
        <v>194</v>
      </c>
      <c r="C548" s="29" t="s">
        <v>217</v>
      </c>
      <c r="D548" s="29" t="n">
        <v>1</v>
      </c>
      <c r="E548" s="31" t="n">
        <v>99736</v>
      </c>
      <c r="F548" s="31" t="n">
        <v>-11017</v>
      </c>
      <c r="G548" s="37" t="n">
        <v>-0.110461618673298</v>
      </c>
    </row>
    <row r="549" customFormat="false" ht="15" hidden="false" customHeight="false" outlineLevel="0" collapsed="false">
      <c r="A549" s="20" t="s">
        <v>817</v>
      </c>
      <c r="B549" s="9" t="s">
        <v>253</v>
      </c>
      <c r="C549" s="9" t="s">
        <v>254</v>
      </c>
      <c r="D549" s="9" t="n">
        <v>28</v>
      </c>
      <c r="E549" s="30" t="n">
        <v>99652</v>
      </c>
      <c r="F549" s="30" t="n">
        <v>42728</v>
      </c>
      <c r="G549" s="35" t="n">
        <v>0.428772127001967</v>
      </c>
    </row>
    <row r="550" customFormat="false" ht="15" hidden="false" customHeight="false" outlineLevel="0" collapsed="false">
      <c r="A550" s="25" t="s">
        <v>818</v>
      </c>
      <c r="B550" s="25" t="s">
        <v>194</v>
      </c>
      <c r="C550" s="29" t="s">
        <v>223</v>
      </c>
      <c r="D550" s="29" t="n">
        <v>20</v>
      </c>
      <c r="E550" s="31" t="n">
        <v>99520</v>
      </c>
      <c r="F550" s="31" t="n">
        <v>40760</v>
      </c>
      <c r="G550" s="37" t="n">
        <v>0.409565916398714</v>
      </c>
    </row>
    <row r="551" customFormat="false" ht="15" hidden="false" customHeight="false" outlineLevel="0" collapsed="false">
      <c r="A551" s="20" t="s">
        <v>819</v>
      </c>
      <c r="B551" s="20" t="s">
        <v>233</v>
      </c>
      <c r="C551" s="9" t="s">
        <v>223</v>
      </c>
      <c r="D551" s="9" t="n">
        <v>11</v>
      </c>
      <c r="E551" s="30" t="n">
        <v>99506</v>
      </c>
      <c r="F551" s="30" t="n">
        <v>9658</v>
      </c>
      <c r="G551" s="35" t="n">
        <v>0.0970594738005748</v>
      </c>
    </row>
    <row r="552" customFormat="false" ht="15" hidden="false" customHeight="false" outlineLevel="0" collapsed="false">
      <c r="A552" s="25" t="s">
        <v>820</v>
      </c>
      <c r="B552" s="25" t="s">
        <v>194</v>
      </c>
      <c r="C552" s="29" t="s">
        <v>195</v>
      </c>
      <c r="D552" s="29" t="n">
        <v>12</v>
      </c>
      <c r="E552" s="31" t="n">
        <v>99372</v>
      </c>
      <c r="F552" s="31" t="n">
        <v>20532</v>
      </c>
      <c r="G552" s="37" t="n">
        <v>0.20661755826591</v>
      </c>
    </row>
    <row r="553" customFormat="false" ht="15" hidden="false" customHeight="false" outlineLevel="0" collapsed="false">
      <c r="A553" s="20" t="s">
        <v>821</v>
      </c>
      <c r="B553" s="20" t="s">
        <v>194</v>
      </c>
      <c r="C553" s="9" t="s">
        <v>479</v>
      </c>
      <c r="D553" s="9" t="n">
        <v>15</v>
      </c>
      <c r="E553" s="30" t="n">
        <v>99315</v>
      </c>
      <c r="F553" s="30" t="n">
        <v>26850</v>
      </c>
      <c r="G553" s="35" t="n">
        <v>0.270351910587525</v>
      </c>
    </row>
    <row r="554" customFormat="false" ht="15" hidden="false" customHeight="false" outlineLevel="0" collapsed="false">
      <c r="A554" s="25" t="s">
        <v>822</v>
      </c>
      <c r="B554" s="25" t="s">
        <v>194</v>
      </c>
      <c r="C554" s="29" t="s">
        <v>231</v>
      </c>
      <c r="D554" s="29" t="n">
        <v>6</v>
      </c>
      <c r="E554" s="31" t="n">
        <v>98904</v>
      </c>
      <c r="F554" s="31" t="n">
        <v>64068</v>
      </c>
      <c r="G554" s="37" t="n">
        <v>0.647779665129823</v>
      </c>
    </row>
    <row r="555" customFormat="false" ht="15" hidden="false" customHeight="false" outlineLevel="0" collapsed="false">
      <c r="A555" s="20" t="s">
        <v>823</v>
      </c>
      <c r="B555" s="20" t="s">
        <v>194</v>
      </c>
      <c r="C555" s="9" t="s">
        <v>203</v>
      </c>
      <c r="D555" s="9" t="n">
        <v>94</v>
      </c>
      <c r="E555" s="30" t="n">
        <v>97572</v>
      </c>
      <c r="F555" s="30" t="n">
        <v>54990</v>
      </c>
      <c r="G555" s="35" t="n">
        <v>0.563583815028902</v>
      </c>
    </row>
    <row r="556" customFormat="false" ht="15" hidden="false" customHeight="false" outlineLevel="0" collapsed="false">
      <c r="A556" s="25" t="s">
        <v>824</v>
      </c>
      <c r="B556" s="25" t="s">
        <v>194</v>
      </c>
      <c r="C556" s="29" t="s">
        <v>334</v>
      </c>
      <c r="D556" s="29" t="n">
        <v>4</v>
      </c>
      <c r="E556" s="31" t="n">
        <v>97324</v>
      </c>
      <c r="F556" s="31" t="n">
        <v>9536</v>
      </c>
      <c r="G556" s="37" t="n">
        <v>0.097981998273807</v>
      </c>
    </row>
    <row r="557" customFormat="false" ht="15" hidden="false" customHeight="false" outlineLevel="0" collapsed="false">
      <c r="A557" s="20" t="s">
        <v>825</v>
      </c>
      <c r="B557" s="20" t="s">
        <v>194</v>
      </c>
      <c r="C557" s="9" t="s">
        <v>297</v>
      </c>
      <c r="D557" s="9" t="n">
        <v>2</v>
      </c>
      <c r="E557" s="30" t="n">
        <v>96734</v>
      </c>
      <c r="F557" s="30" t="n">
        <v>31116</v>
      </c>
      <c r="G557" s="35" t="n">
        <v>0.321665598445221</v>
      </c>
    </row>
    <row r="558" customFormat="false" ht="15" hidden="false" customHeight="false" outlineLevel="0" collapsed="false">
      <c r="A558" s="25" t="s">
        <v>826</v>
      </c>
      <c r="B558" s="25" t="s">
        <v>194</v>
      </c>
      <c r="C558" s="29" t="s">
        <v>355</v>
      </c>
      <c r="D558" s="29" t="n">
        <v>3</v>
      </c>
      <c r="E558" s="31" t="n">
        <v>96519</v>
      </c>
      <c r="F558" s="31" t="n">
        <v>29037</v>
      </c>
      <c r="G558" s="37" t="n">
        <v>0.300842321201007</v>
      </c>
    </row>
    <row r="559" customFormat="false" ht="15" hidden="false" customHeight="false" outlineLevel="0" collapsed="false">
      <c r="A559" s="20" t="s">
        <v>827</v>
      </c>
      <c r="B559" s="20" t="s">
        <v>194</v>
      </c>
      <c r="C559" s="9" t="s">
        <v>236</v>
      </c>
      <c r="D559" s="9" t="n">
        <v>289</v>
      </c>
      <c r="E559" s="30" t="n">
        <v>95370</v>
      </c>
      <c r="F559" s="30" t="n">
        <v>40460</v>
      </c>
      <c r="G559" s="35" t="n">
        <v>0.424242424242424</v>
      </c>
    </row>
    <row r="560" customFormat="false" ht="15" hidden="false" customHeight="false" outlineLevel="0" collapsed="false">
      <c r="A560" s="25" t="s">
        <v>828</v>
      </c>
      <c r="B560" s="25" t="s">
        <v>332</v>
      </c>
      <c r="C560" s="29" t="s">
        <v>217</v>
      </c>
      <c r="D560" s="29" t="n">
        <v>1</v>
      </c>
      <c r="E560" s="31" t="n">
        <v>95259</v>
      </c>
      <c r="F560" s="31" t="n">
        <v>33670</v>
      </c>
      <c r="G560" s="37" t="n">
        <v>0.353457416097167</v>
      </c>
    </row>
    <row r="561" customFormat="false" ht="15" hidden="false" customHeight="false" outlineLevel="0" collapsed="false">
      <c r="A561" s="20" t="s">
        <v>829</v>
      </c>
      <c r="B561" s="20" t="s">
        <v>332</v>
      </c>
      <c r="C561" s="9" t="s">
        <v>217</v>
      </c>
      <c r="D561" s="9" t="n">
        <v>1</v>
      </c>
      <c r="E561" s="30" t="n">
        <v>95259</v>
      </c>
      <c r="F561" s="30" t="n">
        <v>34937</v>
      </c>
      <c r="G561" s="35" t="n">
        <v>0.366757996619742</v>
      </c>
    </row>
    <row r="562" customFormat="false" ht="15" hidden="false" customHeight="false" outlineLevel="0" collapsed="false">
      <c r="A562" s="25" t="s">
        <v>830</v>
      </c>
      <c r="B562" s="25" t="s">
        <v>200</v>
      </c>
      <c r="C562" s="29" t="s">
        <v>223</v>
      </c>
      <c r="D562" s="29" t="n">
        <v>1</v>
      </c>
      <c r="E562" s="31" t="n">
        <v>94848</v>
      </c>
      <c r="F562" s="31" t="n">
        <v>41473</v>
      </c>
      <c r="G562" s="37" t="n">
        <v>0.437257506747638</v>
      </c>
    </row>
    <row r="563" customFormat="false" ht="15" hidden="false" customHeight="false" outlineLevel="0" collapsed="false">
      <c r="A563" s="20" t="s">
        <v>831</v>
      </c>
      <c r="B563" s="20" t="s">
        <v>194</v>
      </c>
      <c r="C563" s="9" t="s">
        <v>195</v>
      </c>
      <c r="D563" s="9" t="n">
        <v>3</v>
      </c>
      <c r="E563" s="30" t="n">
        <v>94362</v>
      </c>
      <c r="F563" s="30" t="n">
        <v>11862</v>
      </c>
      <c r="G563" s="35" t="n">
        <v>0.12570738220894</v>
      </c>
    </row>
    <row r="564" customFormat="false" ht="15" hidden="false" customHeight="false" outlineLevel="0" collapsed="false">
      <c r="A564" s="25" t="s">
        <v>832</v>
      </c>
      <c r="B564" s="25" t="s">
        <v>194</v>
      </c>
      <c r="C564" s="29" t="s">
        <v>231</v>
      </c>
      <c r="D564" s="29" t="n">
        <v>1</v>
      </c>
      <c r="E564" s="31" t="n">
        <v>93464</v>
      </c>
      <c r="F564" s="31" t="n">
        <v>22504</v>
      </c>
      <c r="G564" s="37" t="n">
        <v>0.240777197637593</v>
      </c>
    </row>
    <row r="565" customFormat="false" ht="15" hidden="false" customHeight="false" outlineLevel="0" collapsed="false">
      <c r="A565" s="20" t="s">
        <v>833</v>
      </c>
      <c r="B565" s="20" t="s">
        <v>194</v>
      </c>
      <c r="C565" s="9" t="s">
        <v>223</v>
      </c>
      <c r="D565" s="9" t="n">
        <v>1</v>
      </c>
      <c r="E565" s="30" t="n">
        <v>93152</v>
      </c>
      <c r="F565" s="30" t="n">
        <v>32246</v>
      </c>
      <c r="G565" s="35" t="n">
        <v>0.346165407076606</v>
      </c>
    </row>
    <row r="566" customFormat="false" ht="15" hidden="false" customHeight="false" outlineLevel="0" collapsed="false">
      <c r="A566" s="25" t="s">
        <v>834</v>
      </c>
      <c r="B566" s="25" t="s">
        <v>194</v>
      </c>
      <c r="C566" s="29" t="s">
        <v>195</v>
      </c>
      <c r="D566" s="29" t="n">
        <v>11</v>
      </c>
      <c r="E566" s="31" t="n">
        <v>92854</v>
      </c>
      <c r="F566" s="31" t="n">
        <v>24533</v>
      </c>
      <c r="G566" s="37" t="n">
        <v>0.264210480970125</v>
      </c>
    </row>
    <row r="567" customFormat="false" ht="15" hidden="false" customHeight="false" outlineLevel="0" collapsed="false">
      <c r="A567" s="20" t="s">
        <v>835</v>
      </c>
      <c r="B567" s="20" t="s">
        <v>194</v>
      </c>
      <c r="C567" s="9" t="s">
        <v>368</v>
      </c>
      <c r="D567" s="9" t="n">
        <v>11</v>
      </c>
      <c r="E567" s="30" t="n">
        <v>92598</v>
      </c>
      <c r="F567" s="30" t="n">
        <v>40095</v>
      </c>
      <c r="G567" s="35" t="n">
        <v>0.433000712758375</v>
      </c>
    </row>
    <row r="568" customFormat="false" ht="15" hidden="false" customHeight="false" outlineLevel="0" collapsed="false">
      <c r="A568" s="25" t="s">
        <v>836</v>
      </c>
      <c r="B568" s="25" t="s">
        <v>194</v>
      </c>
      <c r="C568" s="29" t="s">
        <v>209</v>
      </c>
      <c r="D568" s="29" t="n">
        <v>10</v>
      </c>
      <c r="E568" s="31" t="n">
        <v>92300</v>
      </c>
      <c r="F568" s="31" t="n">
        <v>41990</v>
      </c>
      <c r="G568" s="37" t="n">
        <v>0.454929577464789</v>
      </c>
    </row>
    <row r="569" customFormat="false" ht="15" hidden="false" customHeight="false" outlineLevel="0" collapsed="false">
      <c r="A569" s="20" t="s">
        <v>837</v>
      </c>
      <c r="B569" s="9" t="s">
        <v>289</v>
      </c>
      <c r="C569" s="9" t="s">
        <v>290</v>
      </c>
      <c r="D569" s="9" t="n">
        <v>4</v>
      </c>
      <c r="E569" s="30" t="n">
        <v>92200</v>
      </c>
      <c r="F569" s="30" t="n">
        <v>35168</v>
      </c>
      <c r="G569" s="35" t="n">
        <v>0.381431670281996</v>
      </c>
    </row>
    <row r="570" customFormat="false" ht="15" hidden="false" customHeight="false" outlineLevel="0" collapsed="false">
      <c r="A570" s="25" t="s">
        <v>838</v>
      </c>
      <c r="B570" s="25" t="s">
        <v>194</v>
      </c>
      <c r="C570" s="29" t="s">
        <v>223</v>
      </c>
      <c r="D570" s="29" t="n">
        <v>1</v>
      </c>
      <c r="E570" s="31" t="n">
        <v>92072</v>
      </c>
      <c r="F570" s="31" t="n">
        <v>16800</v>
      </c>
      <c r="G570" s="37" t="n">
        <v>0.182465896255105</v>
      </c>
    </row>
    <row r="571" customFormat="false" ht="15" hidden="false" customHeight="false" outlineLevel="0" collapsed="false">
      <c r="A571" s="20" t="s">
        <v>839</v>
      </c>
      <c r="B571" s="9" t="s">
        <v>253</v>
      </c>
      <c r="C571" s="9" t="s">
        <v>428</v>
      </c>
      <c r="D571" s="9" t="n">
        <v>50</v>
      </c>
      <c r="E571" s="30" t="n">
        <v>91900</v>
      </c>
      <c r="F571" s="30" t="n">
        <v>55000</v>
      </c>
      <c r="G571" s="35" t="n">
        <v>0.598476605005441</v>
      </c>
    </row>
    <row r="572" customFormat="false" ht="15" hidden="false" customHeight="false" outlineLevel="0" collapsed="false">
      <c r="A572" s="25" t="s">
        <v>840</v>
      </c>
      <c r="B572" s="25" t="s">
        <v>841</v>
      </c>
      <c r="C572" s="29" t="s">
        <v>290</v>
      </c>
      <c r="D572" s="29" t="n">
        <v>2</v>
      </c>
      <c r="E572" s="31" t="n">
        <v>91400</v>
      </c>
      <c r="F572" s="31" t="n">
        <v>61200</v>
      </c>
      <c r="G572" s="37" t="n">
        <v>0.669584245076586</v>
      </c>
    </row>
    <row r="573" customFormat="false" ht="15" hidden="false" customHeight="false" outlineLevel="0" collapsed="false">
      <c r="A573" s="20" t="s">
        <v>842</v>
      </c>
      <c r="B573" s="9" t="s">
        <v>216</v>
      </c>
      <c r="C573" s="9" t="s">
        <v>428</v>
      </c>
      <c r="D573" s="9" t="n">
        <v>57</v>
      </c>
      <c r="E573" s="30" t="n">
        <v>91200</v>
      </c>
      <c r="F573" s="30" t="n">
        <v>19950</v>
      </c>
      <c r="G573" s="35" t="n">
        <v>0.21875</v>
      </c>
    </row>
    <row r="574" customFormat="false" ht="15" hidden="false" customHeight="false" outlineLevel="0" collapsed="false">
      <c r="A574" s="25" t="s">
        <v>843</v>
      </c>
      <c r="B574" s="25" t="s">
        <v>194</v>
      </c>
      <c r="C574" s="29" t="s">
        <v>368</v>
      </c>
      <c r="D574" s="29" t="n">
        <v>19</v>
      </c>
      <c r="E574" s="31" t="n">
        <v>91181</v>
      </c>
      <c r="F574" s="31" t="n">
        <v>38874</v>
      </c>
      <c r="G574" s="37" t="n">
        <v>0.426338820587622</v>
      </c>
    </row>
    <row r="575" customFormat="false" ht="15" hidden="false" customHeight="false" outlineLevel="0" collapsed="false">
      <c r="A575" s="20" t="s">
        <v>844</v>
      </c>
      <c r="B575" s="20" t="s">
        <v>200</v>
      </c>
      <c r="C575" s="9" t="s">
        <v>223</v>
      </c>
      <c r="D575" s="9" t="n">
        <v>10</v>
      </c>
      <c r="E575" s="30" t="n">
        <v>90800</v>
      </c>
      <c r="F575" s="30" t="n">
        <v>4960</v>
      </c>
      <c r="G575" s="35" t="n">
        <v>0.0546255506607929</v>
      </c>
    </row>
    <row r="576" customFormat="false" ht="15" hidden="false" customHeight="false" outlineLevel="0" collapsed="false">
      <c r="A576" s="25" t="s">
        <v>845</v>
      </c>
      <c r="B576" s="25" t="s">
        <v>194</v>
      </c>
      <c r="C576" s="29" t="s">
        <v>203</v>
      </c>
      <c r="D576" s="29" t="n">
        <v>38</v>
      </c>
      <c r="E576" s="31" t="n">
        <v>90744</v>
      </c>
      <c r="F576" s="31" t="n">
        <v>43358</v>
      </c>
      <c r="G576" s="37" t="n">
        <v>0.477805695142379</v>
      </c>
    </row>
    <row r="577" customFormat="false" ht="15" hidden="false" customHeight="false" outlineLevel="0" collapsed="false">
      <c r="A577" s="20" t="s">
        <v>846</v>
      </c>
      <c r="B577" s="20" t="s">
        <v>194</v>
      </c>
      <c r="C577" s="9" t="s">
        <v>203</v>
      </c>
      <c r="D577" s="9" t="n">
        <v>9</v>
      </c>
      <c r="E577" s="30" t="n">
        <v>90540</v>
      </c>
      <c r="F577" s="30" t="n">
        <v>6372</v>
      </c>
      <c r="G577" s="35" t="n">
        <v>0.0703777335984095</v>
      </c>
    </row>
    <row r="578" customFormat="false" ht="15" hidden="false" customHeight="false" outlineLevel="0" collapsed="false">
      <c r="A578" s="25" t="s">
        <v>847</v>
      </c>
      <c r="B578" s="25" t="s">
        <v>194</v>
      </c>
      <c r="C578" s="29" t="s">
        <v>195</v>
      </c>
      <c r="D578" s="29" t="n">
        <v>2</v>
      </c>
      <c r="E578" s="31" t="n">
        <v>90528</v>
      </c>
      <c r="F578" s="31" t="n">
        <v>14012</v>
      </c>
      <c r="G578" s="37" t="n">
        <v>0.154780841286674</v>
      </c>
    </row>
    <row r="579" customFormat="false" ht="15" hidden="false" customHeight="false" outlineLevel="0" collapsed="false">
      <c r="A579" s="20" t="s">
        <v>848</v>
      </c>
      <c r="B579" s="20" t="s">
        <v>200</v>
      </c>
      <c r="C579" s="9" t="s">
        <v>223</v>
      </c>
      <c r="D579" s="9" t="n">
        <v>1</v>
      </c>
      <c r="E579" s="30" t="n">
        <v>90380</v>
      </c>
      <c r="F579" s="30" t="n">
        <v>28421</v>
      </c>
      <c r="G579" s="35" t="n">
        <v>0.314461163974331</v>
      </c>
    </row>
    <row r="580" customFormat="false" ht="15" hidden="false" customHeight="false" outlineLevel="0" collapsed="false">
      <c r="A580" s="25" t="s">
        <v>849</v>
      </c>
      <c r="B580" s="25" t="s">
        <v>194</v>
      </c>
      <c r="C580" s="29" t="s">
        <v>380</v>
      </c>
      <c r="D580" s="29" t="n">
        <v>21</v>
      </c>
      <c r="E580" s="31" t="n">
        <v>90367</v>
      </c>
      <c r="F580" s="31" t="n">
        <v>27304</v>
      </c>
      <c r="G580" s="37" t="n">
        <v>0.302145694777961</v>
      </c>
    </row>
    <row r="581" customFormat="false" ht="15" hidden="false" customHeight="false" outlineLevel="0" collapsed="false">
      <c r="A581" s="20" t="s">
        <v>850</v>
      </c>
      <c r="B581" s="20" t="s">
        <v>194</v>
      </c>
      <c r="C581" s="9" t="s">
        <v>368</v>
      </c>
      <c r="D581" s="9" t="n">
        <v>70</v>
      </c>
      <c r="E581" s="30" t="n">
        <v>89840</v>
      </c>
      <c r="F581" s="30" t="n">
        <v>82840</v>
      </c>
      <c r="G581" s="35" t="n">
        <v>0.922083704363313</v>
      </c>
    </row>
    <row r="582" customFormat="false" ht="15" hidden="false" customHeight="false" outlineLevel="0" collapsed="false">
      <c r="A582" s="25" t="s">
        <v>851</v>
      </c>
      <c r="B582" s="29" t="s">
        <v>281</v>
      </c>
      <c r="C582" s="29" t="s">
        <v>197</v>
      </c>
      <c r="D582" s="29" t="n">
        <v>123</v>
      </c>
      <c r="E582" s="31" t="n">
        <v>89667</v>
      </c>
      <c r="F582" s="31" t="n">
        <v>28905</v>
      </c>
      <c r="G582" s="37" t="n">
        <v>0.322359396433471</v>
      </c>
    </row>
    <row r="583" customFormat="false" ht="15" hidden="false" customHeight="false" outlineLevel="0" collapsed="false">
      <c r="A583" s="20" t="s">
        <v>852</v>
      </c>
      <c r="B583" s="9" t="s">
        <v>253</v>
      </c>
      <c r="C583" s="9" t="s">
        <v>355</v>
      </c>
      <c r="D583" s="9" t="n">
        <v>26</v>
      </c>
      <c r="E583" s="30" t="n">
        <v>89414</v>
      </c>
      <c r="F583" s="30" t="n">
        <v>77714</v>
      </c>
      <c r="G583" s="35" t="n">
        <v>0.869148008141902</v>
      </c>
    </row>
    <row r="584" customFormat="false" ht="15" hidden="false" customHeight="false" outlineLevel="0" collapsed="false">
      <c r="A584" s="25" t="s">
        <v>853</v>
      </c>
      <c r="B584" s="29" t="s">
        <v>281</v>
      </c>
      <c r="C584" s="29" t="s">
        <v>197</v>
      </c>
      <c r="D584" s="29" t="n">
        <v>48</v>
      </c>
      <c r="E584" s="31" t="n">
        <v>89328</v>
      </c>
      <c r="F584" s="31" t="n">
        <v>33312</v>
      </c>
      <c r="G584" s="37" t="n">
        <v>0.372917786136486</v>
      </c>
    </row>
    <row r="585" customFormat="false" ht="15" hidden="false" customHeight="false" outlineLevel="0" collapsed="false">
      <c r="A585" s="20" t="s">
        <v>854</v>
      </c>
      <c r="B585" s="20" t="s">
        <v>855</v>
      </c>
      <c r="C585" s="9" t="s">
        <v>334</v>
      </c>
      <c r="D585" s="9" t="n">
        <v>16</v>
      </c>
      <c r="E585" s="30" t="n">
        <v>89280</v>
      </c>
      <c r="F585" s="30" t="n">
        <v>13392</v>
      </c>
      <c r="G585" s="35" t="n">
        <v>0.15</v>
      </c>
    </row>
    <row r="586" customFormat="false" ht="15" hidden="false" customHeight="false" outlineLevel="0" collapsed="false">
      <c r="A586" s="25" t="s">
        <v>856</v>
      </c>
      <c r="B586" s="25" t="s">
        <v>194</v>
      </c>
      <c r="C586" s="29" t="s">
        <v>430</v>
      </c>
      <c r="D586" s="29" t="n">
        <v>1</v>
      </c>
      <c r="E586" s="31" t="n">
        <v>89091</v>
      </c>
      <c r="F586" s="31" t="n">
        <v>10080</v>
      </c>
      <c r="G586" s="37" t="n">
        <v>0.11314274169108</v>
      </c>
    </row>
    <row r="587" customFormat="false" ht="15" hidden="false" customHeight="false" outlineLevel="0" collapsed="false">
      <c r="A587" s="20" t="s">
        <v>857</v>
      </c>
      <c r="B587" s="20" t="s">
        <v>194</v>
      </c>
      <c r="C587" s="9" t="s">
        <v>334</v>
      </c>
      <c r="D587" s="9" t="n">
        <v>14</v>
      </c>
      <c r="E587" s="30" t="n">
        <v>88992</v>
      </c>
      <c r="F587" s="30" t="n">
        <v>18936</v>
      </c>
      <c r="G587" s="35" t="n">
        <v>0.212783171521036</v>
      </c>
    </row>
    <row r="588" customFormat="false" ht="15" hidden="false" customHeight="false" outlineLevel="0" collapsed="false">
      <c r="A588" s="25" t="s">
        <v>858</v>
      </c>
      <c r="B588" s="25" t="s">
        <v>200</v>
      </c>
      <c r="C588" s="29" t="s">
        <v>223</v>
      </c>
      <c r="D588" s="29" t="n">
        <v>5</v>
      </c>
      <c r="E588" s="31" t="n">
        <v>88745</v>
      </c>
      <c r="F588" s="31" t="n">
        <v>20685</v>
      </c>
      <c r="G588" s="37" t="n">
        <v>0.233083554003042</v>
      </c>
    </row>
    <row r="589" customFormat="false" ht="15" hidden="false" customHeight="false" outlineLevel="0" collapsed="false">
      <c r="A589" s="20" t="s">
        <v>859</v>
      </c>
      <c r="B589" s="20" t="s">
        <v>194</v>
      </c>
      <c r="C589" s="9" t="s">
        <v>203</v>
      </c>
      <c r="D589" s="9" t="n">
        <v>11</v>
      </c>
      <c r="E589" s="30" t="n">
        <v>88165</v>
      </c>
      <c r="F589" s="30" t="n">
        <v>35530</v>
      </c>
      <c r="G589" s="35" t="n">
        <v>0.402994385527137</v>
      </c>
    </row>
    <row r="590" customFormat="false" ht="15" hidden="false" customHeight="false" outlineLevel="0" collapsed="false">
      <c r="A590" s="25" t="s">
        <v>860</v>
      </c>
      <c r="B590" s="25" t="s">
        <v>194</v>
      </c>
      <c r="C590" s="29" t="s">
        <v>231</v>
      </c>
      <c r="D590" s="29" t="n">
        <v>27</v>
      </c>
      <c r="E590" s="31" t="n">
        <v>87939</v>
      </c>
      <c r="F590" s="31" t="n">
        <v>19494</v>
      </c>
      <c r="G590" s="37" t="n">
        <v>0.221676389315321</v>
      </c>
    </row>
    <row r="591" customFormat="false" ht="15" hidden="false" customHeight="false" outlineLevel="0" collapsed="false">
      <c r="A591" s="20" t="s">
        <v>861</v>
      </c>
      <c r="B591" s="20" t="s">
        <v>194</v>
      </c>
      <c r="C591" s="9" t="s">
        <v>197</v>
      </c>
      <c r="D591" s="9" t="n">
        <v>10</v>
      </c>
      <c r="E591" s="30" t="n">
        <v>87490</v>
      </c>
      <c r="F591" s="30" t="n">
        <v>55660</v>
      </c>
      <c r="G591" s="35" t="n">
        <v>0.636186992799177</v>
      </c>
    </row>
    <row r="592" customFormat="false" ht="15" hidden="false" customHeight="false" outlineLevel="0" collapsed="false">
      <c r="A592" s="25" t="s">
        <v>862</v>
      </c>
      <c r="B592" s="29" t="s">
        <v>281</v>
      </c>
      <c r="C592" s="29" t="s">
        <v>197</v>
      </c>
      <c r="D592" s="29" t="n">
        <v>101</v>
      </c>
      <c r="E592" s="31" t="n">
        <v>87365</v>
      </c>
      <c r="F592" s="31" t="n">
        <v>30199</v>
      </c>
      <c r="G592" s="37" t="n">
        <v>0.345664739884393</v>
      </c>
    </row>
    <row r="593" customFormat="false" ht="15" hidden="false" customHeight="false" outlineLevel="0" collapsed="false">
      <c r="A593" s="20" t="s">
        <v>863</v>
      </c>
      <c r="B593" s="20" t="s">
        <v>194</v>
      </c>
      <c r="C593" s="9" t="s">
        <v>209</v>
      </c>
      <c r="D593" s="9" t="n">
        <v>90</v>
      </c>
      <c r="E593" s="30" t="n">
        <v>87300</v>
      </c>
      <c r="F593" s="30" t="n">
        <v>53100</v>
      </c>
      <c r="G593" s="35" t="n">
        <v>0.608247422680412</v>
      </c>
    </row>
    <row r="594" customFormat="false" ht="15" hidden="false" customHeight="false" outlineLevel="0" collapsed="false">
      <c r="A594" s="25" t="s">
        <v>864</v>
      </c>
      <c r="B594" s="29" t="s">
        <v>253</v>
      </c>
      <c r="C594" s="29" t="s">
        <v>254</v>
      </c>
      <c r="D594" s="29" t="n">
        <v>24</v>
      </c>
      <c r="E594" s="31" t="n">
        <v>86952</v>
      </c>
      <c r="F594" s="31" t="n">
        <v>38016</v>
      </c>
      <c r="G594" s="37" t="n">
        <v>0.437206734750207</v>
      </c>
    </row>
    <row r="595" customFormat="false" ht="15" hidden="false" customHeight="false" outlineLevel="0" collapsed="false">
      <c r="A595" s="20" t="s">
        <v>865</v>
      </c>
      <c r="B595" s="9" t="s">
        <v>866</v>
      </c>
      <c r="C595" s="9" t="s">
        <v>779</v>
      </c>
      <c r="D595" s="9" t="n">
        <v>204</v>
      </c>
      <c r="E595" s="30" t="n">
        <v>86700</v>
      </c>
      <c r="F595" s="30" t="n">
        <v>22236</v>
      </c>
      <c r="G595" s="35" t="n">
        <v>0.256470588235294</v>
      </c>
    </row>
    <row r="596" customFormat="false" ht="15" hidden="false" customHeight="false" outlineLevel="0" collapsed="false">
      <c r="A596" s="25" t="s">
        <v>867</v>
      </c>
      <c r="B596" s="25" t="s">
        <v>194</v>
      </c>
      <c r="C596" s="29" t="s">
        <v>203</v>
      </c>
      <c r="D596" s="29" t="n">
        <v>20</v>
      </c>
      <c r="E596" s="31" t="n">
        <v>86420</v>
      </c>
      <c r="F596" s="31" t="n">
        <v>23340</v>
      </c>
      <c r="G596" s="37" t="n">
        <v>0.270076371210368</v>
      </c>
    </row>
    <row r="597" customFormat="false" ht="15" hidden="false" customHeight="false" outlineLevel="0" collapsed="false">
      <c r="A597" s="20" t="s">
        <v>868</v>
      </c>
      <c r="B597" s="9" t="s">
        <v>253</v>
      </c>
      <c r="C597" s="9" t="s">
        <v>254</v>
      </c>
      <c r="D597" s="9" t="n">
        <v>10</v>
      </c>
      <c r="E597" s="30" t="n">
        <v>86110</v>
      </c>
      <c r="F597" s="30" t="n">
        <v>20620</v>
      </c>
      <c r="G597" s="35" t="n">
        <v>0.239461154337475</v>
      </c>
    </row>
    <row r="598" customFormat="false" ht="15" hidden="false" customHeight="false" outlineLevel="0" collapsed="false">
      <c r="A598" s="25" t="s">
        <v>869</v>
      </c>
      <c r="B598" s="25" t="s">
        <v>194</v>
      </c>
      <c r="C598" s="29" t="s">
        <v>485</v>
      </c>
      <c r="D598" s="29" t="n">
        <v>2</v>
      </c>
      <c r="E598" s="31" t="n">
        <v>85824</v>
      </c>
      <c r="F598" s="31" t="n">
        <v>12890</v>
      </c>
      <c r="G598" s="37" t="n">
        <v>0.150191088739746</v>
      </c>
    </row>
    <row r="599" customFormat="false" ht="15" hidden="false" customHeight="false" outlineLevel="0" collapsed="false">
      <c r="A599" s="20" t="s">
        <v>870</v>
      </c>
      <c r="B599" s="20" t="s">
        <v>194</v>
      </c>
      <c r="C599" s="9" t="s">
        <v>223</v>
      </c>
      <c r="D599" s="9" t="n">
        <v>1</v>
      </c>
      <c r="E599" s="30" t="n">
        <v>85578</v>
      </c>
      <c r="F599" s="30" t="n">
        <v>21546</v>
      </c>
      <c r="G599" s="35" t="n">
        <v>0.251770314800533</v>
      </c>
    </row>
    <row r="600" customFormat="false" ht="15" hidden="false" customHeight="false" outlineLevel="0" collapsed="false">
      <c r="A600" s="25" t="s">
        <v>871</v>
      </c>
      <c r="B600" s="29" t="s">
        <v>253</v>
      </c>
      <c r="C600" s="29" t="s">
        <v>254</v>
      </c>
      <c r="D600" s="29" t="n">
        <v>10</v>
      </c>
      <c r="E600" s="31" t="n">
        <v>85170</v>
      </c>
      <c r="F600" s="31" t="n">
        <v>79970</v>
      </c>
      <c r="G600" s="37" t="n">
        <v>0.938945638135494</v>
      </c>
    </row>
    <row r="601" customFormat="false" ht="15" hidden="false" customHeight="false" outlineLevel="0" collapsed="false">
      <c r="A601" s="20" t="s">
        <v>872</v>
      </c>
      <c r="B601" s="20" t="s">
        <v>194</v>
      </c>
      <c r="C601" s="9" t="s">
        <v>439</v>
      </c>
      <c r="D601" s="9" t="n">
        <v>7</v>
      </c>
      <c r="E601" s="30" t="n">
        <v>85077</v>
      </c>
      <c r="F601" s="30" t="n">
        <v>12761</v>
      </c>
      <c r="G601" s="35" t="n">
        <v>0.149993535268051</v>
      </c>
    </row>
    <row r="602" customFormat="false" ht="15" hidden="false" customHeight="false" outlineLevel="0" collapsed="false">
      <c r="A602" s="25" t="s">
        <v>873</v>
      </c>
      <c r="B602" s="25" t="s">
        <v>194</v>
      </c>
      <c r="C602" s="29" t="s">
        <v>368</v>
      </c>
      <c r="D602" s="29" t="n">
        <v>14</v>
      </c>
      <c r="E602" s="31" t="n">
        <v>84714</v>
      </c>
      <c r="F602" s="31" t="n">
        <v>-2128</v>
      </c>
      <c r="G602" s="37" t="n">
        <v>-0.025119814906627</v>
      </c>
    </row>
    <row r="603" customFormat="false" ht="15" hidden="false" customHeight="false" outlineLevel="0" collapsed="false">
      <c r="A603" s="20" t="s">
        <v>874</v>
      </c>
      <c r="B603" s="20" t="s">
        <v>194</v>
      </c>
      <c r="C603" s="9" t="s">
        <v>195</v>
      </c>
      <c r="D603" s="9" t="n">
        <v>11</v>
      </c>
      <c r="E603" s="30" t="n">
        <v>84571</v>
      </c>
      <c r="F603" s="30" t="n">
        <v>22421</v>
      </c>
      <c r="G603" s="35" t="n">
        <v>0.265114519161415</v>
      </c>
    </row>
    <row r="604" customFormat="false" ht="15" hidden="false" customHeight="false" outlineLevel="0" collapsed="false">
      <c r="A604" s="25" t="s">
        <v>875</v>
      </c>
      <c r="B604" s="29" t="s">
        <v>253</v>
      </c>
      <c r="C604" s="29" t="s">
        <v>223</v>
      </c>
      <c r="D604" s="29" t="n">
        <v>140</v>
      </c>
      <c r="E604" s="31" t="n">
        <v>84140</v>
      </c>
      <c r="F604" s="31" t="n">
        <v>54880</v>
      </c>
      <c r="G604" s="37" t="n">
        <v>0.652246256239601</v>
      </c>
    </row>
    <row r="605" customFormat="false" ht="15" hidden="false" customHeight="false" outlineLevel="0" collapsed="false">
      <c r="A605" s="20" t="s">
        <v>876</v>
      </c>
      <c r="B605" s="20" t="s">
        <v>194</v>
      </c>
      <c r="C605" s="9" t="s">
        <v>231</v>
      </c>
      <c r="D605" s="9" t="n">
        <v>41</v>
      </c>
      <c r="E605" s="30" t="n">
        <v>83438</v>
      </c>
      <c r="F605" s="30" t="n">
        <v>69088</v>
      </c>
      <c r="G605" s="35" t="n">
        <v>0.828016011889067</v>
      </c>
    </row>
    <row r="606" customFormat="false" ht="15" hidden="false" customHeight="false" outlineLevel="0" collapsed="false">
      <c r="A606" s="25" t="s">
        <v>877</v>
      </c>
      <c r="B606" s="25" t="s">
        <v>194</v>
      </c>
      <c r="C606" s="29" t="s">
        <v>195</v>
      </c>
      <c r="D606" s="29" t="n">
        <v>2</v>
      </c>
      <c r="E606" s="31" t="n">
        <v>83386</v>
      </c>
      <c r="F606" s="31" t="n">
        <v>20588</v>
      </c>
      <c r="G606" s="37" t="n">
        <v>0.246899959225769</v>
      </c>
    </row>
    <row r="607" customFormat="false" ht="15" hidden="false" customHeight="false" outlineLevel="0" collapsed="false">
      <c r="A607" s="20" t="s">
        <v>878</v>
      </c>
      <c r="B607" s="20" t="s">
        <v>240</v>
      </c>
      <c r="C607" s="9" t="s">
        <v>516</v>
      </c>
      <c r="D607" s="9" t="n">
        <v>3</v>
      </c>
      <c r="E607" s="30" t="n">
        <v>83346</v>
      </c>
      <c r="F607" s="30" t="n">
        <v>43467</v>
      </c>
      <c r="G607" s="35" t="n">
        <v>0.521524728241307</v>
      </c>
    </row>
    <row r="608" customFormat="false" ht="15" hidden="false" customHeight="false" outlineLevel="0" collapsed="false">
      <c r="A608" s="25" t="s">
        <v>879</v>
      </c>
      <c r="B608" s="25" t="s">
        <v>200</v>
      </c>
      <c r="C608" s="29" t="s">
        <v>880</v>
      </c>
      <c r="D608" s="29" t="n">
        <v>3</v>
      </c>
      <c r="E608" s="31" t="n">
        <v>83286</v>
      </c>
      <c r="F608" s="31" t="n">
        <v>71226</v>
      </c>
      <c r="G608" s="37" t="n">
        <v>0.85519775232332</v>
      </c>
    </row>
    <row r="609" customFormat="false" ht="15" hidden="false" customHeight="false" outlineLevel="0" collapsed="false">
      <c r="A609" s="20" t="s">
        <v>881</v>
      </c>
      <c r="B609" s="9" t="s">
        <v>289</v>
      </c>
      <c r="C609" s="9" t="s">
        <v>290</v>
      </c>
      <c r="D609" s="9" t="n">
        <v>6</v>
      </c>
      <c r="E609" s="30" t="n">
        <v>83220</v>
      </c>
      <c r="F609" s="30" t="n">
        <v>18396</v>
      </c>
      <c r="G609" s="35" t="n">
        <v>0.221052631578947</v>
      </c>
    </row>
    <row r="610" customFormat="false" ht="15" hidden="false" customHeight="false" outlineLevel="0" collapsed="false">
      <c r="A610" s="25" t="s">
        <v>882</v>
      </c>
      <c r="B610" s="25" t="s">
        <v>194</v>
      </c>
      <c r="C610" s="29" t="s">
        <v>203</v>
      </c>
      <c r="D610" s="29" t="n">
        <v>84</v>
      </c>
      <c r="E610" s="31" t="n">
        <v>83160</v>
      </c>
      <c r="F610" s="31" t="n">
        <v>56280</v>
      </c>
      <c r="G610" s="37" t="n">
        <v>0.676767676767677</v>
      </c>
    </row>
    <row r="611" customFormat="false" ht="15" hidden="false" customHeight="false" outlineLevel="0" collapsed="false">
      <c r="A611" s="20" t="s">
        <v>883</v>
      </c>
      <c r="B611" s="20" t="s">
        <v>194</v>
      </c>
      <c r="C611" s="9" t="s">
        <v>368</v>
      </c>
      <c r="D611" s="9" t="n">
        <v>6</v>
      </c>
      <c r="E611" s="30" t="n">
        <v>82884</v>
      </c>
      <c r="F611" s="30" t="n">
        <v>30144</v>
      </c>
      <c r="G611" s="35" t="n">
        <v>0.363689011148111</v>
      </c>
    </row>
    <row r="612" customFormat="false" ht="15" hidden="false" customHeight="false" outlineLevel="0" collapsed="false">
      <c r="A612" s="25" t="s">
        <v>884</v>
      </c>
      <c r="B612" s="25" t="s">
        <v>194</v>
      </c>
      <c r="C612" s="29" t="s">
        <v>430</v>
      </c>
      <c r="D612" s="29" t="n">
        <v>1</v>
      </c>
      <c r="E612" s="31" t="n">
        <v>82803</v>
      </c>
      <c r="F612" s="31" t="n">
        <v>28032</v>
      </c>
      <c r="G612" s="37" t="n">
        <v>0.338538458751495</v>
      </c>
    </row>
    <row r="613" customFormat="false" ht="15" hidden="false" customHeight="false" outlineLevel="0" collapsed="false">
      <c r="A613" s="20" t="s">
        <v>885</v>
      </c>
      <c r="B613" s="20" t="s">
        <v>194</v>
      </c>
      <c r="C613" s="9" t="s">
        <v>297</v>
      </c>
      <c r="D613" s="9" t="n">
        <v>2</v>
      </c>
      <c r="E613" s="30" t="n">
        <v>82552</v>
      </c>
      <c r="F613" s="30" t="n">
        <v>9250</v>
      </c>
      <c r="G613" s="35" t="n">
        <v>0.112050586297122</v>
      </c>
    </row>
    <row r="614" customFormat="false" ht="15" hidden="false" customHeight="false" outlineLevel="0" collapsed="false">
      <c r="A614" s="25" t="s">
        <v>886</v>
      </c>
      <c r="B614" s="25" t="s">
        <v>220</v>
      </c>
      <c r="C614" s="29" t="s">
        <v>622</v>
      </c>
      <c r="D614" s="29" t="n">
        <v>40</v>
      </c>
      <c r="E614" s="31" t="n">
        <v>82362</v>
      </c>
      <c r="F614" s="31" t="n">
        <v>67962</v>
      </c>
      <c r="G614" s="37" t="n">
        <v>0.825162089313033</v>
      </c>
    </row>
    <row r="615" customFormat="false" ht="15" hidden="false" customHeight="false" outlineLevel="0" collapsed="false">
      <c r="A615" s="20" t="s">
        <v>887</v>
      </c>
      <c r="B615" s="9" t="s">
        <v>216</v>
      </c>
      <c r="C615" s="9" t="s">
        <v>428</v>
      </c>
      <c r="D615" s="9" t="n">
        <v>74</v>
      </c>
      <c r="E615" s="30" t="n">
        <v>82214</v>
      </c>
      <c r="F615" s="30" t="n">
        <v>17982</v>
      </c>
      <c r="G615" s="35" t="n">
        <v>0.218721872187219</v>
      </c>
    </row>
    <row r="616" customFormat="false" ht="15" hidden="false" customHeight="false" outlineLevel="0" collapsed="false">
      <c r="A616" s="25" t="s">
        <v>888</v>
      </c>
      <c r="B616" s="25" t="s">
        <v>194</v>
      </c>
      <c r="C616" s="29" t="s">
        <v>195</v>
      </c>
      <c r="D616" s="29" t="n">
        <v>1</v>
      </c>
      <c r="E616" s="31" t="n">
        <v>82159</v>
      </c>
      <c r="F616" s="31" t="n">
        <v>29775</v>
      </c>
      <c r="G616" s="37" t="n">
        <v>0.36240704000779</v>
      </c>
    </row>
    <row r="617" customFormat="false" ht="15" hidden="false" customHeight="false" outlineLevel="0" collapsed="false">
      <c r="A617" s="20" t="s">
        <v>889</v>
      </c>
      <c r="B617" s="20" t="s">
        <v>194</v>
      </c>
      <c r="C617" s="9" t="s">
        <v>195</v>
      </c>
      <c r="D617" s="9" t="n">
        <v>3</v>
      </c>
      <c r="E617" s="30" t="n">
        <v>82053</v>
      </c>
      <c r="F617" s="30" t="n">
        <v>2685</v>
      </c>
      <c r="G617" s="35" t="n">
        <v>0.0327227523673723</v>
      </c>
    </row>
    <row r="618" customFormat="false" ht="15" hidden="false" customHeight="false" outlineLevel="0" collapsed="false">
      <c r="A618" s="25" t="s">
        <v>890</v>
      </c>
      <c r="B618" s="25" t="s">
        <v>891</v>
      </c>
      <c r="C618" s="29" t="s">
        <v>297</v>
      </c>
      <c r="D618" s="29" t="n">
        <v>2</v>
      </c>
      <c r="E618" s="31" t="n">
        <v>81358</v>
      </c>
      <c r="F618" s="31" t="n">
        <v>12204</v>
      </c>
      <c r="G618" s="37" t="n">
        <v>0.150003687406278</v>
      </c>
    </row>
    <row r="619" customFormat="false" ht="15" hidden="false" customHeight="false" outlineLevel="0" collapsed="false">
      <c r="A619" s="20" t="s">
        <v>892</v>
      </c>
      <c r="B619" s="20" t="s">
        <v>194</v>
      </c>
      <c r="C619" s="9" t="s">
        <v>195</v>
      </c>
      <c r="D619" s="9" t="n">
        <v>2</v>
      </c>
      <c r="E619" s="30" t="n">
        <v>81304</v>
      </c>
      <c r="F619" s="30" t="n">
        <v>50698</v>
      </c>
      <c r="G619" s="35" t="n">
        <v>0.623560956410509</v>
      </c>
    </row>
    <row r="620" customFormat="false" ht="15" hidden="false" customHeight="false" outlineLevel="0" collapsed="false">
      <c r="A620" s="25" t="s">
        <v>893</v>
      </c>
      <c r="B620" s="25" t="s">
        <v>194</v>
      </c>
      <c r="C620" s="29" t="s">
        <v>203</v>
      </c>
      <c r="D620" s="29" t="n">
        <v>20</v>
      </c>
      <c r="E620" s="31" t="n">
        <v>80980</v>
      </c>
      <c r="F620" s="31" t="n">
        <v>31060</v>
      </c>
      <c r="G620" s="37" t="n">
        <v>0.383551494196098</v>
      </c>
    </row>
    <row r="621" customFormat="false" ht="15" hidden="false" customHeight="false" outlineLevel="0" collapsed="false">
      <c r="A621" s="20" t="s">
        <v>894</v>
      </c>
      <c r="B621" s="20" t="s">
        <v>194</v>
      </c>
      <c r="C621" s="9" t="s">
        <v>203</v>
      </c>
      <c r="D621" s="9" t="n">
        <v>3</v>
      </c>
      <c r="E621" s="30" t="n">
        <v>80442</v>
      </c>
      <c r="F621" s="30" t="n">
        <v>17757</v>
      </c>
      <c r="G621" s="35" t="n">
        <v>0.22074289550235</v>
      </c>
    </row>
    <row r="622" customFormat="false" ht="15" hidden="false" customHeight="false" outlineLevel="0" collapsed="false">
      <c r="A622" s="25" t="s">
        <v>895</v>
      </c>
      <c r="B622" s="25" t="s">
        <v>194</v>
      </c>
      <c r="C622" s="29" t="s">
        <v>430</v>
      </c>
      <c r="D622" s="29" t="n">
        <v>1</v>
      </c>
      <c r="E622" s="31" t="n">
        <v>80405</v>
      </c>
      <c r="F622" s="31" t="n">
        <v>2732</v>
      </c>
      <c r="G622" s="37" t="n">
        <v>0.0339779864436291</v>
      </c>
    </row>
    <row r="623" customFormat="false" ht="15" hidden="false" customHeight="false" outlineLevel="0" collapsed="false">
      <c r="A623" s="20" t="s">
        <v>896</v>
      </c>
      <c r="B623" s="20" t="s">
        <v>240</v>
      </c>
      <c r="C623" s="9" t="s">
        <v>368</v>
      </c>
      <c r="D623" s="9" t="n">
        <v>36</v>
      </c>
      <c r="E623" s="30" t="n">
        <v>80244</v>
      </c>
      <c r="F623" s="30" t="n">
        <v>66204</v>
      </c>
      <c r="G623" s="35" t="n">
        <v>0.825033647375505</v>
      </c>
    </row>
    <row r="624" customFormat="false" ht="15" hidden="false" customHeight="false" outlineLevel="0" collapsed="false">
      <c r="A624" s="25" t="s">
        <v>897</v>
      </c>
      <c r="B624" s="25" t="s">
        <v>240</v>
      </c>
      <c r="C624" s="29" t="s">
        <v>790</v>
      </c>
      <c r="D624" s="29" t="n">
        <v>5</v>
      </c>
      <c r="E624" s="31" t="n">
        <v>80140</v>
      </c>
      <c r="F624" s="31" t="n">
        <v>13010</v>
      </c>
      <c r="G624" s="37" t="n">
        <v>0.162340903419017</v>
      </c>
    </row>
    <row r="625" customFormat="false" ht="15" hidden="false" customHeight="false" outlineLevel="0" collapsed="false">
      <c r="A625" s="20" t="s">
        <v>898</v>
      </c>
      <c r="B625" s="20" t="s">
        <v>194</v>
      </c>
      <c r="C625" s="9" t="s">
        <v>197</v>
      </c>
      <c r="D625" s="9" t="n">
        <v>45</v>
      </c>
      <c r="E625" s="30" t="n">
        <v>80100</v>
      </c>
      <c r="F625" s="30" t="n">
        <v>19395</v>
      </c>
      <c r="G625" s="35" t="n">
        <v>0.242134831460674</v>
      </c>
    </row>
    <row r="626" customFormat="false" ht="15" hidden="false" customHeight="false" outlineLevel="0" collapsed="false">
      <c r="A626" s="25" t="s">
        <v>899</v>
      </c>
      <c r="B626" s="29" t="s">
        <v>752</v>
      </c>
      <c r="C626" s="29" t="s">
        <v>439</v>
      </c>
      <c r="D626" s="29" t="n">
        <v>2</v>
      </c>
      <c r="E626" s="31" t="n">
        <v>79696</v>
      </c>
      <c r="F626" s="31" t="n">
        <v>32570</v>
      </c>
      <c r="G626" s="37" t="n">
        <v>0.408677976309978</v>
      </c>
    </row>
    <row r="627" customFormat="false" ht="15" hidden="false" customHeight="false" outlineLevel="0" collapsed="false">
      <c r="A627" s="20" t="s">
        <v>900</v>
      </c>
      <c r="B627" s="20" t="s">
        <v>194</v>
      </c>
      <c r="C627" s="9" t="s">
        <v>195</v>
      </c>
      <c r="D627" s="9" t="n">
        <v>18</v>
      </c>
      <c r="E627" s="30" t="n">
        <v>79470</v>
      </c>
      <c r="F627" s="30" t="n">
        <v>11920</v>
      </c>
      <c r="G627" s="35" t="n">
        <v>0.149993708317604</v>
      </c>
    </row>
    <row r="628" customFormat="false" ht="15" hidden="false" customHeight="false" outlineLevel="0" collapsed="false">
      <c r="A628" s="25" t="s">
        <v>901</v>
      </c>
      <c r="B628" s="25" t="s">
        <v>194</v>
      </c>
      <c r="C628" s="29" t="s">
        <v>197</v>
      </c>
      <c r="D628" s="29" t="n">
        <v>51</v>
      </c>
      <c r="E628" s="31" t="n">
        <v>79203</v>
      </c>
      <c r="F628" s="31" t="n">
        <v>6681</v>
      </c>
      <c r="G628" s="37" t="n">
        <v>0.0843528654217643</v>
      </c>
    </row>
    <row r="629" customFormat="false" ht="15" hidden="false" customHeight="false" outlineLevel="0" collapsed="false">
      <c r="A629" s="20" t="s">
        <v>902</v>
      </c>
      <c r="B629" s="20" t="s">
        <v>194</v>
      </c>
      <c r="C629" s="9" t="s">
        <v>790</v>
      </c>
      <c r="D629" s="9" t="n">
        <v>7</v>
      </c>
      <c r="E629" s="30" t="n">
        <v>79023</v>
      </c>
      <c r="F629" s="30" t="n">
        <v>34160</v>
      </c>
      <c r="G629" s="35" t="n">
        <v>0.432279209850297</v>
      </c>
    </row>
    <row r="630" customFormat="false" ht="15" hidden="false" customHeight="false" outlineLevel="0" collapsed="false">
      <c r="A630" s="25" t="s">
        <v>903</v>
      </c>
      <c r="B630" s="25" t="s">
        <v>194</v>
      </c>
      <c r="C630" s="29" t="s">
        <v>682</v>
      </c>
      <c r="D630" s="29" t="n">
        <v>2</v>
      </c>
      <c r="E630" s="31" t="n">
        <v>78876</v>
      </c>
      <c r="F630" s="31" t="n">
        <v>24636</v>
      </c>
      <c r="G630" s="37" t="n">
        <v>0.3123383538719</v>
      </c>
    </row>
    <row r="631" customFormat="false" ht="15" hidden="false" customHeight="false" outlineLevel="0" collapsed="false">
      <c r="A631" s="20" t="s">
        <v>904</v>
      </c>
      <c r="B631" s="20" t="s">
        <v>194</v>
      </c>
      <c r="C631" s="9" t="s">
        <v>217</v>
      </c>
      <c r="D631" s="9" t="n">
        <v>44</v>
      </c>
      <c r="E631" s="30" t="n">
        <v>78848</v>
      </c>
      <c r="F631" s="30" t="n">
        <v>1496</v>
      </c>
      <c r="G631" s="35" t="n">
        <v>0.0189732142857142</v>
      </c>
    </row>
    <row r="632" customFormat="false" ht="15" hidden="false" customHeight="false" outlineLevel="0" collapsed="false">
      <c r="A632" s="25" t="s">
        <v>905</v>
      </c>
      <c r="B632" s="25" t="s">
        <v>200</v>
      </c>
      <c r="C632" s="29" t="s">
        <v>201</v>
      </c>
      <c r="D632" s="29" t="n">
        <v>2</v>
      </c>
      <c r="E632" s="31" t="n">
        <v>78804</v>
      </c>
      <c r="F632" s="31" t="n">
        <v>11804</v>
      </c>
      <c r="G632" s="37" t="n">
        <v>0.149789350794376</v>
      </c>
    </row>
    <row r="633" customFormat="false" ht="15" hidden="false" customHeight="false" outlineLevel="0" collapsed="false">
      <c r="A633" s="20" t="s">
        <v>906</v>
      </c>
      <c r="B633" s="9" t="s">
        <v>216</v>
      </c>
      <c r="C633" s="9" t="s">
        <v>428</v>
      </c>
      <c r="D633" s="9" t="n">
        <v>60</v>
      </c>
      <c r="E633" s="30" t="n">
        <v>78780</v>
      </c>
      <c r="F633" s="30" t="n">
        <v>25980</v>
      </c>
      <c r="G633" s="35" t="n">
        <v>0.32977913175933</v>
      </c>
    </row>
    <row r="634" customFormat="false" ht="15" hidden="false" customHeight="false" outlineLevel="0" collapsed="false">
      <c r="A634" s="25" t="s">
        <v>907</v>
      </c>
      <c r="B634" s="25" t="s">
        <v>194</v>
      </c>
      <c r="C634" s="29" t="s">
        <v>203</v>
      </c>
      <c r="D634" s="29" t="n">
        <v>9</v>
      </c>
      <c r="E634" s="31" t="n">
        <v>78687</v>
      </c>
      <c r="F634" s="31" t="n">
        <v>30474</v>
      </c>
      <c r="G634" s="37" t="n">
        <v>0.387281253574288</v>
      </c>
    </row>
    <row r="635" customFormat="false" ht="15" hidden="false" customHeight="false" outlineLevel="0" collapsed="false">
      <c r="A635" s="20" t="s">
        <v>908</v>
      </c>
      <c r="B635" s="20" t="s">
        <v>194</v>
      </c>
      <c r="C635" s="9" t="s">
        <v>430</v>
      </c>
      <c r="D635" s="9" t="n">
        <v>1</v>
      </c>
      <c r="E635" s="30" t="n">
        <v>78608</v>
      </c>
      <c r="F635" s="30" t="n">
        <v>29568</v>
      </c>
      <c r="G635" s="35" t="n">
        <v>0.376144921636475</v>
      </c>
    </row>
    <row r="636" customFormat="false" ht="15" hidden="false" customHeight="false" outlineLevel="0" collapsed="false">
      <c r="A636" s="25" t="s">
        <v>909</v>
      </c>
      <c r="B636" s="29" t="s">
        <v>253</v>
      </c>
      <c r="C636" s="29" t="s">
        <v>223</v>
      </c>
      <c r="D636" s="29" t="n">
        <v>36</v>
      </c>
      <c r="E636" s="31" t="n">
        <v>78336</v>
      </c>
      <c r="F636" s="31" t="n">
        <v>65736</v>
      </c>
      <c r="G636" s="37" t="n">
        <v>0.839154411764706</v>
      </c>
    </row>
    <row r="637" customFormat="false" ht="15" hidden="false" customHeight="false" outlineLevel="0" collapsed="false">
      <c r="A637" s="20" t="s">
        <v>910</v>
      </c>
      <c r="B637" s="20" t="s">
        <v>240</v>
      </c>
      <c r="C637" s="9" t="s">
        <v>258</v>
      </c>
      <c r="D637" s="9" t="n">
        <v>65</v>
      </c>
      <c r="E637" s="30" t="n">
        <v>78195</v>
      </c>
      <c r="F637" s="30" t="n">
        <v>11729</v>
      </c>
      <c r="G637" s="35" t="n">
        <v>0.149996802864633</v>
      </c>
    </row>
    <row r="638" customFormat="false" ht="15" hidden="false" customHeight="false" outlineLevel="0" collapsed="false">
      <c r="A638" s="25" t="s">
        <v>911</v>
      </c>
      <c r="B638" s="25" t="s">
        <v>194</v>
      </c>
      <c r="C638" s="29" t="s">
        <v>297</v>
      </c>
      <c r="D638" s="29" t="n">
        <v>25</v>
      </c>
      <c r="E638" s="31" t="n">
        <v>78175</v>
      </c>
      <c r="F638" s="31" t="n">
        <v>43250</v>
      </c>
      <c r="G638" s="37" t="n">
        <v>0.55324592260953</v>
      </c>
    </row>
    <row r="639" customFormat="false" ht="15" hidden="false" customHeight="false" outlineLevel="0" collapsed="false">
      <c r="A639" s="20" t="s">
        <v>912</v>
      </c>
      <c r="B639" s="20" t="s">
        <v>194</v>
      </c>
      <c r="C639" s="9" t="s">
        <v>203</v>
      </c>
      <c r="D639" s="9" t="n">
        <v>9</v>
      </c>
      <c r="E639" s="30" t="n">
        <v>78111</v>
      </c>
      <c r="F639" s="30" t="n">
        <v>28953</v>
      </c>
      <c r="G639" s="35" t="n">
        <v>0.370664823136306</v>
      </c>
    </row>
    <row r="640" customFormat="false" ht="15" hidden="false" customHeight="false" outlineLevel="0" collapsed="false">
      <c r="A640" s="25" t="s">
        <v>913</v>
      </c>
      <c r="B640" s="25" t="s">
        <v>194</v>
      </c>
      <c r="C640" s="29" t="s">
        <v>430</v>
      </c>
      <c r="D640" s="29" t="n">
        <v>1</v>
      </c>
      <c r="E640" s="31" t="n">
        <v>78006</v>
      </c>
      <c r="F640" s="31" t="n">
        <v>31958</v>
      </c>
      <c r="G640" s="37" t="n">
        <v>0.409686434376843</v>
      </c>
    </row>
    <row r="641" customFormat="false" ht="15" hidden="false" customHeight="false" outlineLevel="0" collapsed="false">
      <c r="A641" s="20" t="s">
        <v>914</v>
      </c>
      <c r="B641" s="20" t="s">
        <v>194</v>
      </c>
      <c r="C641" s="9" t="s">
        <v>231</v>
      </c>
      <c r="D641" s="9" t="n">
        <v>1</v>
      </c>
      <c r="E641" s="30" t="n">
        <v>77910</v>
      </c>
      <c r="F641" s="30" t="n">
        <v>11686</v>
      </c>
      <c r="G641" s="35" t="n">
        <v>0.149993582338596</v>
      </c>
    </row>
    <row r="642" customFormat="false" ht="15" hidden="false" customHeight="false" outlineLevel="0" collapsed="false">
      <c r="A642" s="25" t="s">
        <v>915</v>
      </c>
      <c r="B642" s="25" t="s">
        <v>220</v>
      </c>
      <c r="C642" s="29" t="s">
        <v>217</v>
      </c>
      <c r="D642" s="29" t="n">
        <v>2</v>
      </c>
      <c r="E642" s="31" t="n">
        <v>77864</v>
      </c>
      <c r="F642" s="31" t="n">
        <v>40708</v>
      </c>
      <c r="G642" s="37" t="n">
        <v>0.52280900030823</v>
      </c>
    </row>
    <row r="643" customFormat="false" ht="15" hidden="false" customHeight="false" outlineLevel="0" collapsed="false">
      <c r="A643" s="20" t="s">
        <v>916</v>
      </c>
      <c r="B643" s="9" t="s">
        <v>253</v>
      </c>
      <c r="C643" s="9" t="s">
        <v>254</v>
      </c>
      <c r="D643" s="9" t="n">
        <v>10</v>
      </c>
      <c r="E643" s="30" t="n">
        <v>77740</v>
      </c>
      <c r="F643" s="30" t="n">
        <v>72950</v>
      </c>
      <c r="G643" s="35" t="n">
        <v>0.9383843581168</v>
      </c>
    </row>
    <row r="644" customFormat="false" ht="15" hidden="false" customHeight="false" outlineLevel="0" collapsed="false">
      <c r="A644" s="25" t="s">
        <v>917</v>
      </c>
      <c r="B644" s="25" t="s">
        <v>233</v>
      </c>
      <c r="C644" s="29" t="s">
        <v>223</v>
      </c>
      <c r="D644" s="29" t="n">
        <v>1</v>
      </c>
      <c r="E644" s="31" t="n">
        <v>77702</v>
      </c>
      <c r="F644" s="31" t="n">
        <v>18163</v>
      </c>
      <c r="G644" s="37" t="n">
        <v>0.233752026974853</v>
      </c>
    </row>
    <row r="645" customFormat="false" ht="15" hidden="false" customHeight="false" outlineLevel="0" collapsed="false">
      <c r="A645" s="20" t="s">
        <v>918</v>
      </c>
      <c r="B645" s="20" t="s">
        <v>194</v>
      </c>
      <c r="C645" s="9" t="s">
        <v>195</v>
      </c>
      <c r="D645" s="9" t="n">
        <v>2</v>
      </c>
      <c r="E645" s="30" t="n">
        <v>76952</v>
      </c>
      <c r="F645" s="30" t="n">
        <v>550</v>
      </c>
      <c r="G645" s="35" t="n">
        <v>0.0071473126104584</v>
      </c>
    </row>
    <row r="646" customFormat="false" ht="15" hidden="false" customHeight="false" outlineLevel="0" collapsed="false">
      <c r="A646" s="25" t="s">
        <v>919</v>
      </c>
      <c r="B646" s="29" t="s">
        <v>216</v>
      </c>
      <c r="C646" s="29" t="s">
        <v>428</v>
      </c>
      <c r="D646" s="29" t="n">
        <v>57</v>
      </c>
      <c r="E646" s="31" t="n">
        <v>76893</v>
      </c>
      <c r="F646" s="31" t="n">
        <v>20178</v>
      </c>
      <c r="G646" s="37" t="n">
        <v>0.262416604892513</v>
      </c>
    </row>
    <row r="647" customFormat="false" ht="15" hidden="false" customHeight="false" outlineLevel="0" collapsed="false">
      <c r="A647" s="20" t="s">
        <v>920</v>
      </c>
      <c r="B647" s="9" t="s">
        <v>289</v>
      </c>
      <c r="C647" s="9" t="s">
        <v>290</v>
      </c>
      <c r="D647" s="9" t="n">
        <v>12</v>
      </c>
      <c r="E647" s="30" t="n">
        <v>76836</v>
      </c>
      <c r="F647" s="30" t="n">
        <v>21024</v>
      </c>
      <c r="G647" s="35" t="n">
        <v>0.273621739809464</v>
      </c>
    </row>
    <row r="648" customFormat="false" ht="15" hidden="false" customHeight="false" outlineLevel="0" collapsed="false">
      <c r="A648" s="25" t="s">
        <v>921</v>
      </c>
      <c r="B648" s="25" t="s">
        <v>200</v>
      </c>
      <c r="C648" s="29" t="s">
        <v>223</v>
      </c>
      <c r="D648" s="29" t="n">
        <v>6</v>
      </c>
      <c r="E648" s="31" t="n">
        <v>76704</v>
      </c>
      <c r="F648" s="31" t="n">
        <v>17652</v>
      </c>
      <c r="G648" s="37" t="n">
        <v>0.230131414267835</v>
      </c>
    </row>
    <row r="649" customFormat="false" ht="15" hidden="false" customHeight="false" outlineLevel="0" collapsed="false">
      <c r="A649" s="20" t="s">
        <v>922</v>
      </c>
      <c r="B649" s="20" t="s">
        <v>194</v>
      </c>
      <c r="C649" s="9" t="s">
        <v>223</v>
      </c>
      <c r="D649" s="9" t="n">
        <v>15</v>
      </c>
      <c r="E649" s="30" t="n">
        <v>76335</v>
      </c>
      <c r="F649" s="30" t="n">
        <v>26625</v>
      </c>
      <c r="G649" s="35" t="n">
        <v>0.348791511102378</v>
      </c>
    </row>
    <row r="650" customFormat="false" ht="15" hidden="false" customHeight="false" outlineLevel="0" collapsed="false">
      <c r="A650" s="25" t="s">
        <v>923</v>
      </c>
      <c r="B650" s="25" t="s">
        <v>200</v>
      </c>
      <c r="C650" s="29" t="s">
        <v>223</v>
      </c>
      <c r="D650" s="29" t="n">
        <v>1</v>
      </c>
      <c r="E650" s="31" t="n">
        <v>76303</v>
      </c>
      <c r="F650" s="31" t="n">
        <v>16036</v>
      </c>
      <c r="G650" s="37" t="n">
        <v>0.210162116823716</v>
      </c>
    </row>
    <row r="651" customFormat="false" ht="15" hidden="false" customHeight="false" outlineLevel="0" collapsed="false">
      <c r="A651" s="20" t="s">
        <v>924</v>
      </c>
      <c r="B651" s="20" t="s">
        <v>240</v>
      </c>
      <c r="C651" s="9" t="s">
        <v>368</v>
      </c>
      <c r="D651" s="9" t="n">
        <v>36</v>
      </c>
      <c r="E651" s="30" t="n">
        <v>75888</v>
      </c>
      <c r="F651" s="30" t="n">
        <v>61128</v>
      </c>
      <c r="G651" s="35" t="n">
        <v>0.80550284629981</v>
      </c>
    </row>
    <row r="652" customFormat="false" ht="15" hidden="false" customHeight="false" outlineLevel="0" collapsed="false">
      <c r="A652" s="25" t="s">
        <v>925</v>
      </c>
      <c r="B652" s="25" t="s">
        <v>194</v>
      </c>
      <c r="C652" s="29" t="s">
        <v>231</v>
      </c>
      <c r="D652" s="29" t="n">
        <v>22</v>
      </c>
      <c r="E652" s="31" t="n">
        <v>75592</v>
      </c>
      <c r="F652" s="31" t="n">
        <v>39666</v>
      </c>
      <c r="G652" s="37" t="n">
        <v>0.524738067520373</v>
      </c>
    </row>
    <row r="653" customFormat="false" ht="15" hidden="false" customHeight="false" outlineLevel="0" collapsed="false">
      <c r="A653" s="20" t="s">
        <v>926</v>
      </c>
      <c r="B653" s="20" t="s">
        <v>240</v>
      </c>
      <c r="C653" s="9" t="s">
        <v>927</v>
      </c>
      <c r="D653" s="9" t="n">
        <v>5</v>
      </c>
      <c r="E653" s="30" t="n">
        <v>75350</v>
      </c>
      <c r="F653" s="30" t="n">
        <v>11302</v>
      </c>
      <c r="G653" s="35" t="n">
        <v>0.149993364299934</v>
      </c>
    </row>
    <row r="654" customFormat="false" ht="15" hidden="false" customHeight="false" outlineLevel="0" collapsed="false">
      <c r="A654" s="25" t="s">
        <v>928</v>
      </c>
      <c r="B654" s="29" t="s">
        <v>253</v>
      </c>
      <c r="C654" s="29" t="s">
        <v>254</v>
      </c>
      <c r="D654" s="29" t="n">
        <v>5</v>
      </c>
      <c r="E654" s="31" t="n">
        <v>75260</v>
      </c>
      <c r="F654" s="31" t="n">
        <v>71910</v>
      </c>
      <c r="G654" s="37" t="n">
        <v>0.955487642838161</v>
      </c>
    </row>
    <row r="655" customFormat="false" ht="15" hidden="false" customHeight="false" outlineLevel="0" collapsed="false">
      <c r="A655" s="20" t="s">
        <v>929</v>
      </c>
      <c r="B655" s="20" t="s">
        <v>194</v>
      </c>
      <c r="C655" s="9" t="s">
        <v>195</v>
      </c>
      <c r="D655" s="9" t="n">
        <v>9</v>
      </c>
      <c r="E655" s="30" t="n">
        <v>75213</v>
      </c>
      <c r="F655" s="30" t="n">
        <v>15417</v>
      </c>
      <c r="G655" s="35" t="n">
        <v>0.204977862869451</v>
      </c>
    </row>
    <row r="656" customFormat="false" ht="15" hidden="false" customHeight="false" outlineLevel="0" collapsed="false">
      <c r="A656" s="25" t="s">
        <v>930</v>
      </c>
      <c r="B656" s="25" t="s">
        <v>200</v>
      </c>
      <c r="C656" s="29" t="s">
        <v>779</v>
      </c>
      <c r="D656" s="29" t="n">
        <v>20</v>
      </c>
      <c r="E656" s="31" t="n">
        <v>74660</v>
      </c>
      <c r="F656" s="31" t="n">
        <v>58660</v>
      </c>
      <c r="G656" s="37" t="n">
        <v>0.785695151352799</v>
      </c>
    </row>
    <row r="657" customFormat="false" ht="15" hidden="false" customHeight="false" outlineLevel="0" collapsed="false">
      <c r="A657" s="20" t="s">
        <v>931</v>
      </c>
      <c r="B657" s="20" t="s">
        <v>194</v>
      </c>
      <c r="C657" s="9" t="s">
        <v>231</v>
      </c>
      <c r="D657" s="9" t="n">
        <v>1</v>
      </c>
      <c r="E657" s="30" t="n">
        <v>74640</v>
      </c>
      <c r="F657" s="30" t="n">
        <v>11384</v>
      </c>
      <c r="G657" s="35" t="n">
        <v>0.152518756698821</v>
      </c>
    </row>
    <row r="658" customFormat="false" ht="15" hidden="false" customHeight="false" outlineLevel="0" collapsed="false">
      <c r="A658" s="25" t="s">
        <v>932</v>
      </c>
      <c r="B658" s="25" t="s">
        <v>228</v>
      </c>
      <c r="C658" s="29" t="s">
        <v>223</v>
      </c>
      <c r="D658" s="29" t="n">
        <v>1</v>
      </c>
      <c r="E658" s="31" t="n">
        <v>74616</v>
      </c>
      <c r="F658" s="31" t="n">
        <v>23671</v>
      </c>
      <c r="G658" s="37" t="n">
        <v>0.317237589793074</v>
      </c>
    </row>
    <row r="659" customFormat="false" ht="15" hidden="false" customHeight="false" outlineLevel="0" collapsed="false">
      <c r="A659" s="20" t="s">
        <v>933</v>
      </c>
      <c r="B659" s="20" t="s">
        <v>194</v>
      </c>
      <c r="C659" s="9" t="s">
        <v>197</v>
      </c>
      <c r="D659" s="9" t="n">
        <v>541</v>
      </c>
      <c r="E659" s="30" t="n">
        <v>73576</v>
      </c>
      <c r="F659" s="30" t="n">
        <v>11036</v>
      </c>
      <c r="G659" s="35" t="n">
        <v>0.149994563444602</v>
      </c>
    </row>
    <row r="660" customFormat="false" ht="15" hidden="false" customHeight="false" outlineLevel="0" collapsed="false">
      <c r="A660" s="25" t="s">
        <v>934</v>
      </c>
      <c r="B660" s="25" t="s">
        <v>194</v>
      </c>
      <c r="C660" s="29" t="s">
        <v>217</v>
      </c>
      <c r="D660" s="29" t="n">
        <v>2</v>
      </c>
      <c r="E660" s="31" t="n">
        <v>73380</v>
      </c>
      <c r="F660" s="31" t="n">
        <v>11770</v>
      </c>
      <c r="G660" s="37" t="n">
        <v>0.160397928590897</v>
      </c>
    </row>
    <row r="661" customFormat="false" ht="15" hidden="false" customHeight="false" outlineLevel="0" collapsed="false">
      <c r="A661" s="20" t="s">
        <v>935</v>
      </c>
      <c r="B661" s="9" t="s">
        <v>216</v>
      </c>
      <c r="C661" s="9" t="s">
        <v>428</v>
      </c>
      <c r="D661" s="9" t="n">
        <v>17</v>
      </c>
      <c r="E661" s="30" t="n">
        <v>73304</v>
      </c>
      <c r="F661" s="30" t="n">
        <v>12427</v>
      </c>
      <c r="G661" s="35" t="n">
        <v>0.169526901669759</v>
      </c>
    </row>
    <row r="662" customFormat="false" ht="15" hidden="false" customHeight="false" outlineLevel="0" collapsed="false">
      <c r="A662" s="25" t="s">
        <v>936</v>
      </c>
      <c r="B662" s="25" t="s">
        <v>937</v>
      </c>
      <c r="C662" s="29" t="s">
        <v>203</v>
      </c>
      <c r="D662" s="29" t="n">
        <v>18</v>
      </c>
      <c r="E662" s="31" t="n">
        <v>73278</v>
      </c>
      <c r="F662" s="31" t="n">
        <v>10989</v>
      </c>
      <c r="G662" s="37" t="n">
        <v>0.149963154016212</v>
      </c>
    </row>
    <row r="663" customFormat="false" ht="15" hidden="false" customHeight="false" outlineLevel="0" collapsed="false">
      <c r="A663" s="20" t="s">
        <v>938</v>
      </c>
      <c r="B663" s="20" t="s">
        <v>200</v>
      </c>
      <c r="C663" s="9" t="s">
        <v>428</v>
      </c>
      <c r="D663" s="9" t="n">
        <v>30</v>
      </c>
      <c r="E663" s="30" t="n">
        <v>72960</v>
      </c>
      <c r="F663" s="30" t="n">
        <v>28140</v>
      </c>
      <c r="G663" s="35" t="n">
        <v>0.385690789473684</v>
      </c>
    </row>
    <row r="664" customFormat="false" ht="15" hidden="false" customHeight="false" outlineLevel="0" collapsed="false">
      <c r="A664" s="25" t="s">
        <v>939</v>
      </c>
      <c r="B664" s="25" t="s">
        <v>194</v>
      </c>
      <c r="C664" s="29" t="s">
        <v>203</v>
      </c>
      <c r="D664" s="29" t="n">
        <v>9</v>
      </c>
      <c r="E664" s="31" t="n">
        <v>72774</v>
      </c>
      <c r="F664" s="31" t="n">
        <v>30573</v>
      </c>
      <c r="G664" s="37" t="n">
        <v>0.420108830076676</v>
      </c>
    </row>
    <row r="665" customFormat="false" ht="15" hidden="false" customHeight="false" outlineLevel="0" collapsed="false">
      <c r="A665" s="20" t="s">
        <v>940</v>
      </c>
      <c r="B665" s="20" t="s">
        <v>194</v>
      </c>
      <c r="C665" s="9" t="s">
        <v>203</v>
      </c>
      <c r="D665" s="9" t="n">
        <v>38</v>
      </c>
      <c r="E665" s="30" t="n">
        <v>71858</v>
      </c>
      <c r="F665" s="30" t="n">
        <v>48098</v>
      </c>
      <c r="G665" s="35" t="n">
        <v>0.66934788054218</v>
      </c>
    </row>
    <row r="666" customFormat="false" ht="15" hidden="false" customHeight="false" outlineLevel="0" collapsed="false">
      <c r="A666" s="25" t="s">
        <v>941</v>
      </c>
      <c r="B666" s="25" t="s">
        <v>240</v>
      </c>
      <c r="C666" s="29" t="s">
        <v>479</v>
      </c>
      <c r="D666" s="29" t="n">
        <v>15</v>
      </c>
      <c r="E666" s="31" t="n">
        <v>71760</v>
      </c>
      <c r="F666" s="31" t="n">
        <v>62760</v>
      </c>
      <c r="G666" s="37" t="n">
        <v>0.874581939799331</v>
      </c>
    </row>
    <row r="667" customFormat="false" ht="15" hidden="false" customHeight="false" outlineLevel="0" collapsed="false">
      <c r="A667" s="20" t="s">
        <v>942</v>
      </c>
      <c r="B667" s="20" t="s">
        <v>194</v>
      </c>
      <c r="C667" s="9" t="s">
        <v>203</v>
      </c>
      <c r="D667" s="9" t="n">
        <v>23</v>
      </c>
      <c r="E667" s="30" t="n">
        <v>71530</v>
      </c>
      <c r="F667" s="30" t="n">
        <v>50324</v>
      </c>
      <c r="G667" s="35" t="n">
        <v>0.703536977491961</v>
      </c>
    </row>
    <row r="668" customFormat="false" ht="15" hidden="false" customHeight="false" outlineLevel="0" collapsed="false">
      <c r="A668" s="25" t="s">
        <v>943</v>
      </c>
      <c r="B668" s="25" t="s">
        <v>240</v>
      </c>
      <c r="C668" s="29" t="s">
        <v>368</v>
      </c>
      <c r="D668" s="29" t="n">
        <v>4</v>
      </c>
      <c r="E668" s="31" t="n">
        <v>71496</v>
      </c>
      <c r="F668" s="31" t="n">
        <v>23496</v>
      </c>
      <c r="G668" s="37" t="n">
        <v>0.328633769721383</v>
      </c>
    </row>
    <row r="669" customFormat="false" ht="15" hidden="false" customHeight="false" outlineLevel="0" collapsed="false">
      <c r="A669" s="20" t="s">
        <v>944</v>
      </c>
      <c r="B669" s="9" t="s">
        <v>253</v>
      </c>
      <c r="C669" s="9" t="s">
        <v>254</v>
      </c>
      <c r="D669" s="9" t="n">
        <v>10</v>
      </c>
      <c r="E669" s="30" t="n">
        <v>71320</v>
      </c>
      <c r="F669" s="30" t="n">
        <v>66540</v>
      </c>
      <c r="G669" s="35" t="n">
        <v>0.932978126752664</v>
      </c>
    </row>
    <row r="670" customFormat="false" ht="15" hidden="false" customHeight="false" outlineLevel="0" collapsed="false">
      <c r="A670" s="25" t="s">
        <v>945</v>
      </c>
      <c r="B670" s="25" t="s">
        <v>220</v>
      </c>
      <c r="C670" s="29" t="s">
        <v>217</v>
      </c>
      <c r="D670" s="29" t="n">
        <v>7</v>
      </c>
      <c r="E670" s="31" t="n">
        <v>71113</v>
      </c>
      <c r="F670" s="31" t="n">
        <v>51142</v>
      </c>
      <c r="G670" s="37" t="n">
        <v>0.719165272172458</v>
      </c>
    </row>
    <row r="671" customFormat="false" ht="15" hidden="false" customHeight="false" outlineLevel="0" collapsed="false">
      <c r="A671" s="20" t="s">
        <v>946</v>
      </c>
      <c r="B671" s="9" t="s">
        <v>281</v>
      </c>
      <c r="C671" s="9" t="s">
        <v>197</v>
      </c>
      <c r="D671" s="9" t="n">
        <v>75</v>
      </c>
      <c r="E671" s="30" t="n">
        <v>71100</v>
      </c>
      <c r="F671" s="30" t="n">
        <v>34875</v>
      </c>
      <c r="G671" s="35" t="n">
        <v>0.490506329113924</v>
      </c>
    </row>
    <row r="672" customFormat="false" ht="15" hidden="false" customHeight="false" outlineLevel="0" collapsed="false">
      <c r="A672" s="25" t="s">
        <v>947</v>
      </c>
      <c r="B672" s="25" t="s">
        <v>194</v>
      </c>
      <c r="C672" s="29" t="s">
        <v>368</v>
      </c>
      <c r="D672" s="29" t="n">
        <v>5</v>
      </c>
      <c r="E672" s="31" t="n">
        <v>70825</v>
      </c>
      <c r="F672" s="31" t="n">
        <v>-910</v>
      </c>
      <c r="G672" s="37" t="n">
        <v>-0.0128485704200494</v>
      </c>
    </row>
    <row r="673" customFormat="false" ht="15" hidden="false" customHeight="false" outlineLevel="0" collapsed="false">
      <c r="A673" s="20" t="s">
        <v>948</v>
      </c>
      <c r="B673" s="20" t="s">
        <v>200</v>
      </c>
      <c r="C673" s="9" t="s">
        <v>258</v>
      </c>
      <c r="D673" s="9" t="n">
        <v>2</v>
      </c>
      <c r="E673" s="30" t="n">
        <v>70704</v>
      </c>
      <c r="F673" s="30" t="n">
        <v>22392</v>
      </c>
      <c r="G673" s="35" t="n">
        <v>0.316700610997963</v>
      </c>
    </row>
    <row r="674" customFormat="false" ht="15" hidden="false" customHeight="false" outlineLevel="0" collapsed="false">
      <c r="A674" s="25" t="s">
        <v>949</v>
      </c>
      <c r="B674" s="29" t="s">
        <v>950</v>
      </c>
      <c r="C674" s="29" t="s">
        <v>217</v>
      </c>
      <c r="D674" s="29" t="n">
        <v>1</v>
      </c>
      <c r="E674" s="31" t="n">
        <v>70654</v>
      </c>
      <c r="F674" s="31" t="n">
        <v>10598</v>
      </c>
      <c r="G674" s="37" t="n">
        <v>0.149998584651966</v>
      </c>
    </row>
    <row r="675" customFormat="false" ht="15" hidden="false" customHeight="false" outlineLevel="0" collapsed="false">
      <c r="A675" s="20" t="s">
        <v>951</v>
      </c>
      <c r="B675" s="20" t="s">
        <v>194</v>
      </c>
      <c r="C675" s="9" t="s">
        <v>297</v>
      </c>
      <c r="D675" s="9" t="n">
        <v>2</v>
      </c>
      <c r="E675" s="30" t="n">
        <v>70628</v>
      </c>
      <c r="F675" s="30" t="n">
        <v>10594</v>
      </c>
      <c r="G675" s="35" t="n">
        <v>0.149997168261879</v>
      </c>
    </row>
    <row r="676" customFormat="false" ht="15" hidden="false" customHeight="false" outlineLevel="0" collapsed="false">
      <c r="A676" s="25" t="s">
        <v>952</v>
      </c>
      <c r="B676" s="29" t="s">
        <v>253</v>
      </c>
      <c r="C676" s="29" t="s">
        <v>223</v>
      </c>
      <c r="D676" s="29" t="n">
        <v>1</v>
      </c>
      <c r="E676" s="31" t="n">
        <v>70538</v>
      </c>
      <c r="F676" s="31" t="n">
        <v>20617</v>
      </c>
      <c r="G676" s="37" t="n">
        <v>0.292282174147268</v>
      </c>
    </row>
    <row r="677" customFormat="false" ht="15" hidden="false" customHeight="false" outlineLevel="0" collapsed="false">
      <c r="A677" s="20" t="s">
        <v>953</v>
      </c>
      <c r="B677" s="20" t="s">
        <v>194</v>
      </c>
      <c r="C677" s="9" t="s">
        <v>203</v>
      </c>
      <c r="D677" s="9" t="n">
        <v>18</v>
      </c>
      <c r="E677" s="30" t="n">
        <v>70506</v>
      </c>
      <c r="F677" s="30" t="n">
        <v>50706</v>
      </c>
      <c r="G677" s="35" t="n">
        <v>0.719172836354353</v>
      </c>
    </row>
    <row r="678" customFormat="false" ht="15" hidden="false" customHeight="false" outlineLevel="0" collapsed="false">
      <c r="A678" s="25" t="s">
        <v>954</v>
      </c>
      <c r="B678" s="29" t="s">
        <v>253</v>
      </c>
      <c r="C678" s="29" t="s">
        <v>428</v>
      </c>
      <c r="D678" s="29" t="n">
        <v>2</v>
      </c>
      <c r="E678" s="31" t="n">
        <v>70298</v>
      </c>
      <c r="F678" s="31" t="n">
        <v>16696</v>
      </c>
      <c r="G678" s="37" t="n">
        <v>0.237503200660047</v>
      </c>
    </row>
    <row r="679" customFormat="false" ht="15" hidden="false" customHeight="false" outlineLevel="0" collapsed="false">
      <c r="A679" s="20" t="s">
        <v>955</v>
      </c>
      <c r="B679" s="20" t="s">
        <v>194</v>
      </c>
      <c r="C679" s="9" t="s">
        <v>217</v>
      </c>
      <c r="D679" s="9" t="n">
        <v>5</v>
      </c>
      <c r="E679" s="30" t="n">
        <v>70255</v>
      </c>
      <c r="F679" s="30" t="n">
        <v>27290</v>
      </c>
      <c r="G679" s="35" t="n">
        <v>0.388442103764857</v>
      </c>
    </row>
    <row r="680" customFormat="false" ht="15" hidden="false" customHeight="false" outlineLevel="0" collapsed="false">
      <c r="A680" s="25" t="s">
        <v>956</v>
      </c>
      <c r="B680" s="25" t="s">
        <v>200</v>
      </c>
      <c r="C680" s="29" t="s">
        <v>223</v>
      </c>
      <c r="D680" s="29" t="n">
        <v>1</v>
      </c>
      <c r="E680" s="31" t="n">
        <v>70186</v>
      </c>
      <c r="F680" s="31" t="n">
        <v>22698</v>
      </c>
      <c r="G680" s="37" t="n">
        <v>0.323397828626792</v>
      </c>
    </row>
    <row r="681" customFormat="false" ht="15" hidden="false" customHeight="false" outlineLevel="0" collapsed="false">
      <c r="A681" s="20" t="s">
        <v>957</v>
      </c>
      <c r="B681" s="20" t="s">
        <v>194</v>
      </c>
      <c r="C681" s="9" t="s">
        <v>334</v>
      </c>
      <c r="D681" s="9" t="n">
        <v>1</v>
      </c>
      <c r="E681" s="30" t="n">
        <v>69988</v>
      </c>
      <c r="F681" s="30" t="n">
        <v>24240</v>
      </c>
      <c r="G681" s="35" t="n">
        <v>0.346345087729325</v>
      </c>
    </row>
    <row r="682" customFormat="false" ht="15" hidden="false" customHeight="false" outlineLevel="0" collapsed="false">
      <c r="A682" s="25" t="s">
        <v>958</v>
      </c>
      <c r="B682" s="29" t="s">
        <v>253</v>
      </c>
      <c r="C682" s="29" t="s">
        <v>428</v>
      </c>
      <c r="D682" s="29" t="n">
        <v>3</v>
      </c>
      <c r="E682" s="31" t="n">
        <v>69246</v>
      </c>
      <c r="F682" s="31" t="n">
        <v>13872</v>
      </c>
      <c r="G682" s="37" t="n">
        <v>0.200329260895936</v>
      </c>
    </row>
    <row r="683" customFormat="false" ht="15" hidden="false" customHeight="false" outlineLevel="0" collapsed="false">
      <c r="A683" s="20" t="s">
        <v>959</v>
      </c>
      <c r="B683" s="20" t="s">
        <v>194</v>
      </c>
      <c r="C683" s="9" t="s">
        <v>223</v>
      </c>
      <c r="D683" s="9" t="n">
        <v>46</v>
      </c>
      <c r="E683" s="30" t="n">
        <v>69184</v>
      </c>
      <c r="F683" s="30" t="n">
        <v>22862</v>
      </c>
      <c r="G683" s="35" t="n">
        <v>0.330452127659575</v>
      </c>
    </row>
    <row r="684" customFormat="false" ht="15" hidden="false" customHeight="false" outlineLevel="0" collapsed="false">
      <c r="A684" s="25" t="s">
        <v>960</v>
      </c>
      <c r="B684" s="25" t="s">
        <v>194</v>
      </c>
      <c r="C684" s="29" t="s">
        <v>334</v>
      </c>
      <c r="D684" s="29" t="n">
        <v>4</v>
      </c>
      <c r="E684" s="31" t="n">
        <v>69056</v>
      </c>
      <c r="F684" s="31" t="n">
        <v>2836</v>
      </c>
      <c r="G684" s="37" t="n">
        <v>0.0410681186283595</v>
      </c>
    </row>
    <row r="685" customFormat="false" ht="15" hidden="false" customHeight="false" outlineLevel="0" collapsed="false">
      <c r="A685" s="20" t="s">
        <v>961</v>
      </c>
      <c r="B685" s="9" t="s">
        <v>962</v>
      </c>
      <c r="C685" s="9" t="s">
        <v>223</v>
      </c>
      <c r="D685" s="9" t="n">
        <v>40</v>
      </c>
      <c r="E685" s="30" t="n">
        <v>68880</v>
      </c>
      <c r="F685" s="30" t="n">
        <v>16120</v>
      </c>
      <c r="G685" s="35" t="n">
        <v>0.234030197444832</v>
      </c>
    </row>
    <row r="686" customFormat="false" ht="15" hidden="false" customHeight="false" outlineLevel="0" collapsed="false">
      <c r="A686" s="25" t="s">
        <v>963</v>
      </c>
      <c r="B686" s="25" t="s">
        <v>200</v>
      </c>
      <c r="C686" s="29" t="s">
        <v>229</v>
      </c>
      <c r="D686" s="29" t="n">
        <v>8</v>
      </c>
      <c r="E686" s="31" t="n">
        <v>68760</v>
      </c>
      <c r="F686" s="31" t="n">
        <v>4016</v>
      </c>
      <c r="G686" s="37" t="n">
        <v>0.0584060500290866</v>
      </c>
    </row>
    <row r="687" customFormat="false" ht="15" hidden="false" customHeight="false" outlineLevel="0" collapsed="false">
      <c r="A687" s="20" t="s">
        <v>964</v>
      </c>
      <c r="B687" s="20" t="s">
        <v>200</v>
      </c>
      <c r="C687" s="9" t="s">
        <v>428</v>
      </c>
      <c r="D687" s="9" t="n">
        <v>30</v>
      </c>
      <c r="E687" s="30" t="n">
        <v>68670</v>
      </c>
      <c r="F687" s="30" t="n">
        <v>25560</v>
      </c>
      <c r="G687" s="35" t="n">
        <v>0.372214941022281</v>
      </c>
    </row>
    <row r="688" customFormat="false" ht="15" hidden="false" customHeight="false" outlineLevel="0" collapsed="false">
      <c r="A688" s="25" t="s">
        <v>965</v>
      </c>
      <c r="B688" s="25" t="s">
        <v>194</v>
      </c>
      <c r="C688" s="29" t="s">
        <v>203</v>
      </c>
      <c r="D688" s="29" t="n">
        <v>11</v>
      </c>
      <c r="E688" s="31" t="n">
        <v>68640</v>
      </c>
      <c r="F688" s="31" t="n">
        <v>31515</v>
      </c>
      <c r="G688" s="37" t="n">
        <v>0.459134615384615</v>
      </c>
    </row>
    <row r="689" customFormat="false" ht="15" hidden="false" customHeight="false" outlineLevel="0" collapsed="false">
      <c r="A689" s="20" t="s">
        <v>966</v>
      </c>
      <c r="B689" s="20" t="s">
        <v>200</v>
      </c>
      <c r="C689" s="9" t="s">
        <v>223</v>
      </c>
      <c r="D689" s="9" t="n">
        <v>20</v>
      </c>
      <c r="E689" s="30" t="n">
        <v>68560</v>
      </c>
      <c r="F689" s="30" t="n">
        <v>15860</v>
      </c>
      <c r="G689" s="35" t="n">
        <v>0.231330221703617</v>
      </c>
    </row>
    <row r="690" customFormat="false" ht="15" hidden="false" customHeight="false" outlineLevel="0" collapsed="false">
      <c r="A690" s="25" t="s">
        <v>967</v>
      </c>
      <c r="B690" s="29" t="s">
        <v>216</v>
      </c>
      <c r="C690" s="29" t="s">
        <v>428</v>
      </c>
      <c r="D690" s="29" t="n">
        <v>17</v>
      </c>
      <c r="E690" s="31" t="n">
        <v>68493</v>
      </c>
      <c r="F690" s="31" t="n">
        <v>26809</v>
      </c>
      <c r="G690" s="37" t="n">
        <v>0.391412261106974</v>
      </c>
    </row>
    <row r="691" customFormat="false" ht="15" hidden="false" customHeight="false" outlineLevel="0" collapsed="false">
      <c r="A691" s="20" t="s">
        <v>968</v>
      </c>
      <c r="B691" s="20" t="s">
        <v>194</v>
      </c>
      <c r="C691" s="9" t="s">
        <v>203</v>
      </c>
      <c r="D691" s="9" t="n">
        <v>13</v>
      </c>
      <c r="E691" s="30" t="n">
        <v>68315</v>
      </c>
      <c r="F691" s="30" t="n">
        <v>55315</v>
      </c>
      <c r="G691" s="35" t="n">
        <v>0.809705042816365</v>
      </c>
    </row>
    <row r="692" customFormat="false" ht="15" hidden="false" customHeight="false" outlineLevel="0" collapsed="false">
      <c r="A692" s="25" t="s">
        <v>969</v>
      </c>
      <c r="B692" s="29" t="s">
        <v>688</v>
      </c>
      <c r="C692" s="29" t="s">
        <v>209</v>
      </c>
      <c r="D692" s="29" t="n">
        <v>284</v>
      </c>
      <c r="E692" s="31" t="n">
        <v>68160</v>
      </c>
      <c r="F692" s="31" t="n">
        <v>10224</v>
      </c>
      <c r="G692" s="37" t="n">
        <v>0.15</v>
      </c>
    </row>
    <row r="693" customFormat="false" ht="15" hidden="false" customHeight="false" outlineLevel="0" collapsed="false">
      <c r="A693" s="20" t="s">
        <v>970</v>
      </c>
      <c r="B693" s="20" t="s">
        <v>200</v>
      </c>
      <c r="C693" s="9" t="s">
        <v>368</v>
      </c>
      <c r="D693" s="9" t="n">
        <v>5</v>
      </c>
      <c r="E693" s="30" t="n">
        <v>68022</v>
      </c>
      <c r="F693" s="30" t="n">
        <v>14742</v>
      </c>
      <c r="G693" s="35" t="n">
        <v>0.216724001058481</v>
      </c>
    </row>
    <row r="694" customFormat="false" ht="15" hidden="false" customHeight="false" outlineLevel="0" collapsed="false">
      <c r="A694" s="25" t="s">
        <v>971</v>
      </c>
      <c r="B694" s="25" t="s">
        <v>200</v>
      </c>
      <c r="C694" s="29" t="s">
        <v>223</v>
      </c>
      <c r="D694" s="29" t="n">
        <v>5</v>
      </c>
      <c r="E694" s="31" t="n">
        <v>67950</v>
      </c>
      <c r="F694" s="31" t="n">
        <v>10190</v>
      </c>
      <c r="G694" s="37" t="n">
        <v>0.149963208241354</v>
      </c>
    </row>
    <row r="695" customFormat="false" ht="15" hidden="false" customHeight="false" outlineLevel="0" collapsed="false">
      <c r="A695" s="20" t="s">
        <v>972</v>
      </c>
      <c r="B695" s="20" t="s">
        <v>194</v>
      </c>
      <c r="C695" s="9" t="s">
        <v>203</v>
      </c>
      <c r="D695" s="9" t="n">
        <v>76</v>
      </c>
      <c r="E695" s="30" t="n">
        <v>67944</v>
      </c>
      <c r="F695" s="30" t="n">
        <v>43624</v>
      </c>
      <c r="G695" s="35" t="n">
        <v>0.642058165548099</v>
      </c>
    </row>
    <row r="696" customFormat="false" ht="15" hidden="false" customHeight="false" outlineLevel="0" collapsed="false">
      <c r="A696" s="25" t="s">
        <v>973</v>
      </c>
      <c r="B696" s="29" t="s">
        <v>253</v>
      </c>
      <c r="C696" s="29" t="s">
        <v>254</v>
      </c>
      <c r="D696" s="29" t="n">
        <v>38</v>
      </c>
      <c r="E696" s="31" t="n">
        <v>67450</v>
      </c>
      <c r="F696" s="31" t="n">
        <v>50084</v>
      </c>
      <c r="G696" s="37" t="n">
        <v>0.742535211267606</v>
      </c>
    </row>
    <row r="697" customFormat="false" ht="15" hidden="false" customHeight="false" outlineLevel="0" collapsed="false">
      <c r="A697" s="20" t="s">
        <v>974</v>
      </c>
      <c r="B697" s="20" t="s">
        <v>194</v>
      </c>
      <c r="C697" s="9" t="s">
        <v>391</v>
      </c>
      <c r="D697" s="9" t="n">
        <v>5</v>
      </c>
      <c r="E697" s="30" t="n">
        <v>67160</v>
      </c>
      <c r="F697" s="30" t="n">
        <v>-5380</v>
      </c>
      <c r="G697" s="35" t="n">
        <v>-0.0801072066706372</v>
      </c>
    </row>
    <row r="698" customFormat="false" ht="15" hidden="false" customHeight="false" outlineLevel="0" collapsed="false">
      <c r="A698" s="25" t="s">
        <v>975</v>
      </c>
      <c r="B698" s="25" t="s">
        <v>194</v>
      </c>
      <c r="C698" s="29" t="s">
        <v>485</v>
      </c>
      <c r="D698" s="29" t="n">
        <v>2</v>
      </c>
      <c r="E698" s="31" t="n">
        <v>66822</v>
      </c>
      <c r="F698" s="31" t="n">
        <v>25184</v>
      </c>
      <c r="G698" s="37" t="n">
        <v>0.376881865253958</v>
      </c>
    </row>
    <row r="699" customFormat="false" ht="15" hidden="false" customHeight="false" outlineLevel="0" collapsed="false">
      <c r="A699" s="20" t="s">
        <v>976</v>
      </c>
      <c r="B699" s="20" t="s">
        <v>200</v>
      </c>
      <c r="C699" s="9" t="s">
        <v>428</v>
      </c>
      <c r="D699" s="9" t="n">
        <v>30</v>
      </c>
      <c r="E699" s="30" t="n">
        <v>66540</v>
      </c>
      <c r="F699" s="30" t="n">
        <v>24720</v>
      </c>
      <c r="G699" s="35" t="n">
        <v>0.371505861136159</v>
      </c>
    </row>
    <row r="700" customFormat="false" ht="15" hidden="false" customHeight="false" outlineLevel="0" collapsed="false">
      <c r="A700" s="25" t="s">
        <v>977</v>
      </c>
      <c r="B700" s="29" t="s">
        <v>253</v>
      </c>
      <c r="C700" s="29" t="s">
        <v>223</v>
      </c>
      <c r="D700" s="29" t="n">
        <v>6</v>
      </c>
      <c r="E700" s="31" t="n">
        <v>66378</v>
      </c>
      <c r="F700" s="31" t="n">
        <v>9954</v>
      </c>
      <c r="G700" s="37" t="n">
        <v>0.149959323872367</v>
      </c>
    </row>
    <row r="701" customFormat="false" ht="15" hidden="false" customHeight="false" outlineLevel="0" collapsed="false">
      <c r="A701" s="20" t="s">
        <v>978</v>
      </c>
      <c r="B701" s="20" t="s">
        <v>200</v>
      </c>
      <c r="C701" s="9" t="s">
        <v>223</v>
      </c>
      <c r="D701" s="9" t="n">
        <v>5</v>
      </c>
      <c r="E701" s="30" t="n">
        <v>66240</v>
      </c>
      <c r="F701" s="30" t="n">
        <v>9935</v>
      </c>
      <c r="G701" s="35" t="n">
        <v>0.149984903381643</v>
      </c>
    </row>
    <row r="702" customFormat="false" ht="15" hidden="false" customHeight="false" outlineLevel="0" collapsed="false">
      <c r="A702" s="25" t="s">
        <v>979</v>
      </c>
      <c r="B702" s="25" t="s">
        <v>194</v>
      </c>
      <c r="C702" s="29" t="s">
        <v>195</v>
      </c>
      <c r="D702" s="29" t="n">
        <v>2</v>
      </c>
      <c r="E702" s="31" t="n">
        <v>66220</v>
      </c>
      <c r="F702" s="31" t="n">
        <v>13990</v>
      </c>
      <c r="G702" s="37" t="n">
        <v>0.211265478707339</v>
      </c>
    </row>
    <row r="703" customFormat="false" ht="15" hidden="false" customHeight="false" outlineLevel="0" collapsed="false">
      <c r="A703" s="20" t="s">
        <v>980</v>
      </c>
      <c r="B703" s="20" t="s">
        <v>194</v>
      </c>
      <c r="C703" s="9" t="s">
        <v>195</v>
      </c>
      <c r="D703" s="9" t="n">
        <v>1</v>
      </c>
      <c r="E703" s="30" t="n">
        <v>66143</v>
      </c>
      <c r="F703" s="30" t="n">
        <v>9703</v>
      </c>
      <c r="G703" s="35" t="n">
        <v>0.146697307349228</v>
      </c>
    </row>
    <row r="704" customFormat="false" ht="15" hidden="false" customHeight="false" outlineLevel="0" collapsed="false">
      <c r="A704" s="25" t="s">
        <v>981</v>
      </c>
      <c r="B704" s="25" t="s">
        <v>200</v>
      </c>
      <c r="C704" s="29" t="s">
        <v>223</v>
      </c>
      <c r="D704" s="29" t="n">
        <v>1</v>
      </c>
      <c r="E704" s="31" t="n">
        <v>65813</v>
      </c>
      <c r="F704" s="31" t="n">
        <v>14211</v>
      </c>
      <c r="G704" s="37" t="n">
        <v>0.215929983437923</v>
      </c>
    </row>
    <row r="705" customFormat="false" ht="15" hidden="false" customHeight="false" outlineLevel="0" collapsed="false">
      <c r="A705" s="20" t="s">
        <v>982</v>
      </c>
      <c r="B705" s="20" t="s">
        <v>200</v>
      </c>
      <c r="C705" s="9" t="s">
        <v>223</v>
      </c>
      <c r="D705" s="9" t="n">
        <v>5</v>
      </c>
      <c r="E705" s="30" t="n">
        <v>65805</v>
      </c>
      <c r="F705" s="30" t="n">
        <v>9870</v>
      </c>
      <c r="G705" s="35" t="n">
        <v>0.149988602689765</v>
      </c>
    </row>
    <row r="706" customFormat="false" ht="15" hidden="false" customHeight="false" outlineLevel="0" collapsed="false">
      <c r="A706" s="25" t="s">
        <v>983</v>
      </c>
      <c r="B706" s="25" t="s">
        <v>194</v>
      </c>
      <c r="C706" s="29" t="s">
        <v>206</v>
      </c>
      <c r="D706" s="29" t="n">
        <v>22</v>
      </c>
      <c r="E706" s="31" t="n">
        <v>65802</v>
      </c>
      <c r="F706" s="31" t="n">
        <v>2376</v>
      </c>
      <c r="G706" s="37" t="n">
        <v>0.0361083249749247</v>
      </c>
    </row>
    <row r="707" customFormat="false" ht="15" hidden="false" customHeight="false" outlineLevel="0" collapsed="false">
      <c r="A707" s="20" t="s">
        <v>984</v>
      </c>
      <c r="B707" s="20" t="s">
        <v>194</v>
      </c>
      <c r="C707" s="9" t="s">
        <v>203</v>
      </c>
      <c r="D707" s="9" t="n">
        <v>60</v>
      </c>
      <c r="E707" s="30" t="n">
        <v>65640</v>
      </c>
      <c r="F707" s="30" t="n">
        <v>7020</v>
      </c>
      <c r="G707" s="35" t="n">
        <v>0.106946983546618</v>
      </c>
    </row>
    <row r="708" customFormat="false" ht="15" hidden="false" customHeight="false" outlineLevel="0" collapsed="false">
      <c r="A708" s="25" t="s">
        <v>985</v>
      </c>
      <c r="B708" s="25" t="s">
        <v>200</v>
      </c>
      <c r="C708" s="29" t="s">
        <v>223</v>
      </c>
      <c r="D708" s="29" t="n">
        <v>1</v>
      </c>
      <c r="E708" s="31" t="n">
        <v>65638</v>
      </c>
      <c r="F708" s="31" t="n">
        <v>22832</v>
      </c>
      <c r="G708" s="37" t="n">
        <v>0.347847283585728</v>
      </c>
    </row>
    <row r="709" customFormat="false" ht="15" hidden="false" customHeight="false" outlineLevel="0" collapsed="false">
      <c r="A709" s="20" t="s">
        <v>986</v>
      </c>
      <c r="B709" s="20" t="s">
        <v>220</v>
      </c>
      <c r="C709" s="9" t="s">
        <v>217</v>
      </c>
      <c r="D709" s="9" t="n">
        <v>1</v>
      </c>
      <c r="E709" s="30" t="n">
        <v>65112</v>
      </c>
      <c r="F709" s="30" t="n">
        <v>11165</v>
      </c>
      <c r="G709" s="35" t="n">
        <v>0.171473768276201</v>
      </c>
    </row>
    <row r="710" customFormat="false" ht="15" hidden="false" customHeight="false" outlineLevel="0" collapsed="false">
      <c r="A710" s="25" t="s">
        <v>987</v>
      </c>
      <c r="B710" s="25" t="s">
        <v>988</v>
      </c>
      <c r="C710" s="29" t="s">
        <v>297</v>
      </c>
      <c r="D710" s="29" t="n">
        <v>29</v>
      </c>
      <c r="E710" s="31" t="n">
        <v>65018</v>
      </c>
      <c r="F710" s="31" t="n">
        <v>54868</v>
      </c>
      <c r="G710" s="37" t="n">
        <v>0.843889384478145</v>
      </c>
    </row>
    <row r="711" customFormat="false" ht="15" hidden="false" customHeight="false" outlineLevel="0" collapsed="false">
      <c r="A711" s="20" t="s">
        <v>989</v>
      </c>
      <c r="B711" s="20" t="s">
        <v>200</v>
      </c>
      <c r="C711" s="9" t="s">
        <v>223</v>
      </c>
      <c r="D711" s="9" t="n">
        <v>5</v>
      </c>
      <c r="E711" s="30" t="n">
        <v>65010</v>
      </c>
      <c r="F711" s="30" t="n">
        <v>9750</v>
      </c>
      <c r="G711" s="35" t="n">
        <v>0.149976926626673</v>
      </c>
    </row>
    <row r="712" customFormat="false" ht="15" hidden="false" customHeight="false" outlineLevel="0" collapsed="false">
      <c r="A712" s="25" t="s">
        <v>990</v>
      </c>
      <c r="B712" s="25" t="s">
        <v>194</v>
      </c>
      <c r="C712" s="29" t="s">
        <v>203</v>
      </c>
      <c r="D712" s="29" t="n">
        <v>130</v>
      </c>
      <c r="E712" s="31" t="n">
        <v>65000</v>
      </c>
      <c r="F712" s="31" t="n">
        <v>25090</v>
      </c>
      <c r="G712" s="37" t="n">
        <v>0.386</v>
      </c>
    </row>
    <row r="713" customFormat="false" ht="15" hidden="false" customHeight="false" outlineLevel="0" collapsed="false">
      <c r="A713" s="20" t="s">
        <v>991</v>
      </c>
      <c r="B713" s="9" t="s">
        <v>216</v>
      </c>
      <c r="C713" s="9" t="s">
        <v>297</v>
      </c>
      <c r="D713" s="9" t="n">
        <v>2</v>
      </c>
      <c r="E713" s="30" t="n">
        <v>64284</v>
      </c>
      <c r="F713" s="30" t="n">
        <v>20254</v>
      </c>
      <c r="G713" s="35" t="n">
        <v>0.315070624105532</v>
      </c>
    </row>
    <row r="714" customFormat="false" ht="15" hidden="false" customHeight="false" outlineLevel="0" collapsed="false">
      <c r="A714" s="25" t="s">
        <v>992</v>
      </c>
      <c r="B714" s="25" t="s">
        <v>194</v>
      </c>
      <c r="C714" s="29" t="s">
        <v>217</v>
      </c>
      <c r="D714" s="29" t="n">
        <v>1</v>
      </c>
      <c r="E714" s="31" t="n">
        <v>64140</v>
      </c>
      <c r="F714" s="31" t="n">
        <v>5305</v>
      </c>
      <c r="G714" s="37" t="n">
        <v>0.0827096975366386</v>
      </c>
    </row>
    <row r="715" customFormat="false" ht="15" hidden="false" customHeight="false" outlineLevel="0" collapsed="false">
      <c r="A715" s="20" t="s">
        <v>993</v>
      </c>
      <c r="B715" s="20" t="s">
        <v>194</v>
      </c>
      <c r="C715" s="9" t="s">
        <v>203</v>
      </c>
      <c r="D715" s="9" t="n">
        <v>40</v>
      </c>
      <c r="E715" s="30" t="n">
        <v>63920</v>
      </c>
      <c r="F715" s="30" t="n">
        <v>48720</v>
      </c>
      <c r="G715" s="35" t="n">
        <v>0.762202753441802</v>
      </c>
    </row>
    <row r="716" customFormat="false" ht="15" hidden="false" customHeight="false" outlineLevel="0" collapsed="false">
      <c r="A716" s="25" t="s">
        <v>994</v>
      </c>
      <c r="B716" s="29" t="s">
        <v>216</v>
      </c>
      <c r="C716" s="29" t="s">
        <v>428</v>
      </c>
      <c r="D716" s="29" t="n">
        <v>60</v>
      </c>
      <c r="E716" s="31" t="n">
        <v>63780</v>
      </c>
      <c r="F716" s="31" t="n">
        <v>10920</v>
      </c>
      <c r="G716" s="37" t="n">
        <v>0.171213546566322</v>
      </c>
    </row>
    <row r="717" customFormat="false" ht="15" hidden="false" customHeight="false" outlineLevel="0" collapsed="false">
      <c r="A717" s="20" t="s">
        <v>995</v>
      </c>
      <c r="B717" s="20" t="s">
        <v>228</v>
      </c>
      <c r="C717" s="9" t="s">
        <v>229</v>
      </c>
      <c r="D717" s="9" t="n">
        <v>1</v>
      </c>
      <c r="E717" s="30" t="n">
        <v>63710</v>
      </c>
      <c r="F717" s="30" t="n">
        <v>3387</v>
      </c>
      <c r="G717" s="35" t="n">
        <v>0.0531627687961073</v>
      </c>
    </row>
    <row r="718" customFormat="false" ht="15" hidden="false" customHeight="false" outlineLevel="0" collapsed="false">
      <c r="A718" s="25" t="s">
        <v>996</v>
      </c>
      <c r="B718" s="25" t="s">
        <v>200</v>
      </c>
      <c r="C718" s="29" t="s">
        <v>223</v>
      </c>
      <c r="D718" s="29" t="n">
        <v>5</v>
      </c>
      <c r="E718" s="31" t="n">
        <v>63550</v>
      </c>
      <c r="F718" s="31" t="n">
        <v>9530</v>
      </c>
      <c r="G718" s="37" t="n">
        <v>0.149960660896932</v>
      </c>
    </row>
    <row r="719" customFormat="false" ht="15" hidden="false" customHeight="false" outlineLevel="0" collapsed="false">
      <c r="A719" s="20" t="s">
        <v>997</v>
      </c>
      <c r="B719" s="9" t="s">
        <v>253</v>
      </c>
      <c r="C719" s="9" t="s">
        <v>254</v>
      </c>
      <c r="D719" s="9" t="n">
        <v>38</v>
      </c>
      <c r="E719" s="30" t="n">
        <v>62966</v>
      </c>
      <c r="F719" s="30" t="n">
        <v>38304</v>
      </c>
      <c r="G719" s="35" t="n">
        <v>0.608328304164152</v>
      </c>
    </row>
    <row r="720" customFormat="false" ht="15" hidden="false" customHeight="false" outlineLevel="0" collapsed="false">
      <c r="A720" s="25" t="s">
        <v>998</v>
      </c>
      <c r="B720" s="25" t="s">
        <v>194</v>
      </c>
      <c r="C720" s="29" t="s">
        <v>203</v>
      </c>
      <c r="D720" s="29" t="n">
        <v>17</v>
      </c>
      <c r="E720" s="31" t="n">
        <v>62815</v>
      </c>
      <c r="F720" s="31" t="n">
        <v>14093</v>
      </c>
      <c r="G720" s="37" t="n">
        <v>0.224357239512855</v>
      </c>
    </row>
    <row r="721" customFormat="false" ht="15" hidden="false" customHeight="false" outlineLevel="0" collapsed="false">
      <c r="A721" s="20" t="s">
        <v>999</v>
      </c>
      <c r="B721" s="9" t="s">
        <v>253</v>
      </c>
      <c r="C721" s="9" t="s">
        <v>254</v>
      </c>
      <c r="D721" s="9" t="n">
        <v>10</v>
      </c>
      <c r="E721" s="30" t="n">
        <v>62630</v>
      </c>
      <c r="F721" s="30" t="n">
        <v>58110</v>
      </c>
      <c r="G721" s="35" t="n">
        <v>0.927830113364202</v>
      </c>
    </row>
    <row r="722" customFormat="false" ht="15" hidden="false" customHeight="false" outlineLevel="0" collapsed="false">
      <c r="A722" s="25" t="s">
        <v>1000</v>
      </c>
      <c r="B722" s="25" t="s">
        <v>194</v>
      </c>
      <c r="C722" s="29" t="s">
        <v>195</v>
      </c>
      <c r="D722" s="29" t="n">
        <v>6</v>
      </c>
      <c r="E722" s="31" t="n">
        <v>62430</v>
      </c>
      <c r="F722" s="31" t="n">
        <v>19014</v>
      </c>
      <c r="G722" s="37" t="n">
        <v>0.304565112926478</v>
      </c>
    </row>
    <row r="723" customFormat="false" ht="15" hidden="false" customHeight="false" outlineLevel="0" collapsed="false">
      <c r="A723" s="20" t="s">
        <v>1001</v>
      </c>
      <c r="B723" s="20" t="s">
        <v>194</v>
      </c>
      <c r="C723" s="9" t="s">
        <v>223</v>
      </c>
      <c r="D723" s="9" t="n">
        <v>3</v>
      </c>
      <c r="E723" s="30" t="n">
        <v>62313</v>
      </c>
      <c r="F723" s="30" t="n">
        <v>25614</v>
      </c>
      <c r="G723" s="35" t="n">
        <v>0.41105387318858</v>
      </c>
    </row>
    <row r="724" customFormat="false" ht="15" hidden="false" customHeight="false" outlineLevel="0" collapsed="false">
      <c r="A724" s="25" t="s">
        <v>1002</v>
      </c>
      <c r="B724" s="25" t="s">
        <v>200</v>
      </c>
      <c r="C724" s="29" t="s">
        <v>223</v>
      </c>
      <c r="D724" s="29" t="n">
        <v>77</v>
      </c>
      <c r="E724" s="31" t="n">
        <v>62216</v>
      </c>
      <c r="F724" s="31" t="n">
        <v>42196</v>
      </c>
      <c r="G724" s="37" t="n">
        <v>0.678217821782178</v>
      </c>
    </row>
    <row r="725" customFormat="false" ht="15" hidden="false" customHeight="false" outlineLevel="0" collapsed="false">
      <c r="A725" s="20" t="s">
        <v>1003</v>
      </c>
      <c r="B725" s="20" t="s">
        <v>194</v>
      </c>
      <c r="C725" s="9" t="s">
        <v>195</v>
      </c>
      <c r="D725" s="9" t="n">
        <v>2</v>
      </c>
      <c r="E725" s="30" t="n">
        <v>62136</v>
      </c>
      <c r="F725" s="30" t="n">
        <v>3008</v>
      </c>
      <c r="G725" s="35" t="n">
        <v>0.0484099394875756</v>
      </c>
    </row>
    <row r="726" customFormat="false" ht="15" hidden="false" customHeight="false" outlineLevel="0" collapsed="false">
      <c r="A726" s="25" t="s">
        <v>1004</v>
      </c>
      <c r="B726" s="29" t="s">
        <v>1005</v>
      </c>
      <c r="C726" s="29" t="s">
        <v>430</v>
      </c>
      <c r="D726" s="29" t="n">
        <v>10</v>
      </c>
      <c r="E726" s="31" t="n">
        <v>61900</v>
      </c>
      <c r="F726" s="31" t="n">
        <v>9285</v>
      </c>
      <c r="G726" s="37" t="n">
        <v>0.15</v>
      </c>
    </row>
    <row r="727" customFormat="false" ht="15" hidden="false" customHeight="false" outlineLevel="0" collapsed="false">
      <c r="A727" s="20" t="s">
        <v>1006</v>
      </c>
      <c r="B727" s="9" t="s">
        <v>253</v>
      </c>
      <c r="C727" s="9" t="s">
        <v>428</v>
      </c>
      <c r="D727" s="9" t="n">
        <v>1</v>
      </c>
      <c r="E727" s="30" t="n">
        <v>61892</v>
      </c>
      <c r="F727" s="30" t="n">
        <v>21244</v>
      </c>
      <c r="G727" s="35" t="n">
        <v>0.343243068571059</v>
      </c>
    </row>
    <row r="728" customFormat="false" ht="15" hidden="false" customHeight="false" outlineLevel="0" collapsed="false">
      <c r="A728" s="25" t="s">
        <v>1007</v>
      </c>
      <c r="B728" s="25" t="s">
        <v>194</v>
      </c>
      <c r="C728" s="29" t="s">
        <v>217</v>
      </c>
      <c r="D728" s="29" t="n">
        <v>1</v>
      </c>
      <c r="E728" s="31" t="n">
        <v>61810</v>
      </c>
      <c r="F728" s="31" t="n">
        <v>14080</v>
      </c>
      <c r="G728" s="37" t="n">
        <v>0.227794855201424</v>
      </c>
    </row>
    <row r="729" customFormat="false" ht="15" hidden="false" customHeight="false" outlineLevel="0" collapsed="false">
      <c r="A729" s="20" t="s">
        <v>1008</v>
      </c>
      <c r="B729" s="20" t="s">
        <v>200</v>
      </c>
      <c r="C729" s="9" t="s">
        <v>1009</v>
      </c>
      <c r="D729" s="9" t="n">
        <v>2</v>
      </c>
      <c r="E729" s="30" t="n">
        <v>61800</v>
      </c>
      <c r="F729" s="30" t="n">
        <v>15478</v>
      </c>
      <c r="G729" s="35" t="n">
        <v>0.250453074433657</v>
      </c>
    </row>
    <row r="730" customFormat="false" ht="15" hidden="false" customHeight="false" outlineLevel="0" collapsed="false">
      <c r="A730" s="25" t="s">
        <v>1010</v>
      </c>
      <c r="B730" s="25" t="s">
        <v>194</v>
      </c>
      <c r="C730" s="29" t="s">
        <v>203</v>
      </c>
      <c r="D730" s="29" t="n">
        <v>16</v>
      </c>
      <c r="E730" s="31" t="n">
        <v>61472</v>
      </c>
      <c r="F730" s="31" t="n">
        <v>-26928</v>
      </c>
      <c r="G730" s="37" t="n">
        <v>-0.438053097345133</v>
      </c>
    </row>
    <row r="731" customFormat="false" ht="15" hidden="false" customHeight="false" outlineLevel="0" collapsed="false">
      <c r="A731" s="20" t="s">
        <v>1011</v>
      </c>
      <c r="B731" s="20" t="s">
        <v>222</v>
      </c>
      <c r="C731" s="9" t="s">
        <v>223</v>
      </c>
      <c r="D731" s="9" t="n">
        <v>1</v>
      </c>
      <c r="E731" s="30" t="n">
        <v>61371</v>
      </c>
      <c r="F731" s="30" t="n">
        <v>15656</v>
      </c>
      <c r="G731" s="35" t="n">
        <v>0.255104202310538</v>
      </c>
    </row>
    <row r="732" customFormat="false" ht="15" hidden="false" customHeight="false" outlineLevel="0" collapsed="false">
      <c r="A732" s="25" t="s">
        <v>1012</v>
      </c>
      <c r="B732" s="25" t="s">
        <v>194</v>
      </c>
      <c r="C732" s="29" t="s">
        <v>195</v>
      </c>
      <c r="D732" s="29" t="n">
        <v>8</v>
      </c>
      <c r="E732" s="31" t="n">
        <v>61290</v>
      </c>
      <c r="F732" s="31" t="n">
        <v>19522</v>
      </c>
      <c r="G732" s="37" t="n">
        <v>0.318518518518519</v>
      </c>
    </row>
    <row r="733" customFormat="false" ht="15" hidden="false" customHeight="false" outlineLevel="0" collapsed="false">
      <c r="A733" s="20" t="s">
        <v>1013</v>
      </c>
      <c r="B733" s="20" t="s">
        <v>194</v>
      </c>
      <c r="C733" s="9" t="s">
        <v>195</v>
      </c>
      <c r="D733" s="9" t="n">
        <v>2</v>
      </c>
      <c r="E733" s="30" t="n">
        <v>61018</v>
      </c>
      <c r="F733" s="30" t="n">
        <v>51468</v>
      </c>
      <c r="G733" s="35" t="n">
        <v>0.843488806581665</v>
      </c>
    </row>
    <row r="734" customFormat="false" ht="15" hidden="false" customHeight="false" outlineLevel="0" collapsed="false">
      <c r="A734" s="25" t="s">
        <v>1014</v>
      </c>
      <c r="B734" s="25" t="s">
        <v>194</v>
      </c>
      <c r="C734" s="29" t="s">
        <v>195</v>
      </c>
      <c r="D734" s="29" t="n">
        <v>11</v>
      </c>
      <c r="E734" s="31" t="n">
        <v>60888</v>
      </c>
      <c r="F734" s="31" t="n">
        <v>23323</v>
      </c>
      <c r="G734" s="37" t="n">
        <v>0.383047562738142</v>
      </c>
    </row>
    <row r="735" customFormat="false" ht="15" hidden="false" customHeight="false" outlineLevel="0" collapsed="false">
      <c r="A735" s="20" t="s">
        <v>1015</v>
      </c>
      <c r="B735" s="20" t="s">
        <v>194</v>
      </c>
      <c r="C735" s="9" t="s">
        <v>217</v>
      </c>
      <c r="D735" s="9" t="n">
        <v>1</v>
      </c>
      <c r="E735" s="30" t="n">
        <v>60856</v>
      </c>
      <c r="F735" s="30" t="n">
        <v>6396</v>
      </c>
      <c r="G735" s="35" t="n">
        <v>0.105100565268831</v>
      </c>
    </row>
    <row r="736" customFormat="false" ht="15" hidden="false" customHeight="false" outlineLevel="0" collapsed="false">
      <c r="A736" s="25" t="s">
        <v>1016</v>
      </c>
      <c r="B736" s="25" t="s">
        <v>194</v>
      </c>
      <c r="C736" s="29" t="s">
        <v>768</v>
      </c>
      <c r="D736" s="29" t="n">
        <v>1</v>
      </c>
      <c r="E736" s="31" t="n">
        <v>60853</v>
      </c>
      <c r="F736" s="31" t="n">
        <v>6715</v>
      </c>
      <c r="G736" s="37" t="n">
        <v>0.11034788753225</v>
      </c>
    </row>
    <row r="737" customFormat="false" ht="15" hidden="false" customHeight="false" outlineLevel="0" collapsed="false">
      <c r="A737" s="20" t="s">
        <v>1017</v>
      </c>
      <c r="B737" s="20" t="s">
        <v>194</v>
      </c>
      <c r="C737" s="9" t="s">
        <v>880</v>
      </c>
      <c r="D737" s="9" t="n">
        <v>3</v>
      </c>
      <c r="E737" s="30" t="n">
        <v>60825</v>
      </c>
      <c r="F737" s="30" t="n">
        <v>55215</v>
      </c>
      <c r="G737" s="35" t="n">
        <v>0.907768187422935</v>
      </c>
    </row>
    <row r="738" customFormat="false" ht="15" hidden="false" customHeight="false" outlineLevel="0" collapsed="false">
      <c r="A738" s="25" t="s">
        <v>1018</v>
      </c>
      <c r="B738" s="29" t="s">
        <v>216</v>
      </c>
      <c r="C738" s="29" t="s">
        <v>428</v>
      </c>
      <c r="D738" s="29" t="n">
        <v>60</v>
      </c>
      <c r="E738" s="31" t="n">
        <v>60720</v>
      </c>
      <c r="F738" s="31" t="n">
        <v>10320</v>
      </c>
      <c r="G738" s="37" t="n">
        <v>0.1699604743083</v>
      </c>
    </row>
    <row r="739" customFormat="false" ht="15" hidden="false" customHeight="false" outlineLevel="0" collapsed="false">
      <c r="A739" s="20" t="s">
        <v>1019</v>
      </c>
      <c r="B739" s="20" t="s">
        <v>332</v>
      </c>
      <c r="C739" s="9" t="s">
        <v>1020</v>
      </c>
      <c r="D739" s="9" t="n">
        <v>1</v>
      </c>
      <c r="E739" s="30" t="n">
        <v>60694</v>
      </c>
      <c r="F739" s="30" t="n">
        <v>9358</v>
      </c>
      <c r="G739" s="35" t="n">
        <v>0.154183280060632</v>
      </c>
    </row>
    <row r="740" customFormat="false" ht="15" hidden="false" customHeight="false" outlineLevel="0" collapsed="false">
      <c r="A740" s="25" t="s">
        <v>1021</v>
      </c>
      <c r="B740" s="25" t="s">
        <v>194</v>
      </c>
      <c r="C740" s="29" t="s">
        <v>203</v>
      </c>
      <c r="D740" s="29" t="n">
        <v>31</v>
      </c>
      <c r="E740" s="31" t="n">
        <v>60667</v>
      </c>
      <c r="F740" s="31" t="n">
        <v>16709</v>
      </c>
      <c r="G740" s="37" t="n">
        <v>0.275421563617782</v>
      </c>
    </row>
    <row r="741" customFormat="false" ht="15" hidden="false" customHeight="false" outlineLevel="0" collapsed="false">
      <c r="A741" s="20" t="s">
        <v>1022</v>
      </c>
      <c r="B741" s="9" t="s">
        <v>216</v>
      </c>
      <c r="C741" s="9" t="s">
        <v>428</v>
      </c>
      <c r="D741" s="9" t="n">
        <v>57</v>
      </c>
      <c r="E741" s="30" t="n">
        <v>60477</v>
      </c>
      <c r="F741" s="30" t="n">
        <v>12027</v>
      </c>
      <c r="G741" s="35" t="n">
        <v>0.198868991517436</v>
      </c>
    </row>
    <row r="742" customFormat="false" ht="15" hidden="false" customHeight="false" outlineLevel="0" collapsed="false">
      <c r="A742" s="25" t="s">
        <v>1023</v>
      </c>
      <c r="B742" s="25" t="s">
        <v>200</v>
      </c>
      <c r="C742" s="29" t="s">
        <v>428</v>
      </c>
      <c r="D742" s="29" t="n">
        <v>30</v>
      </c>
      <c r="E742" s="31" t="n">
        <v>60420</v>
      </c>
      <c r="F742" s="31" t="n">
        <v>17940</v>
      </c>
      <c r="G742" s="37" t="n">
        <v>0.296921549155909</v>
      </c>
    </row>
    <row r="743" customFormat="false" ht="15" hidden="false" customHeight="false" outlineLevel="0" collapsed="false">
      <c r="A743" s="20" t="s">
        <v>1024</v>
      </c>
      <c r="B743" s="20" t="s">
        <v>220</v>
      </c>
      <c r="C743" s="9" t="s">
        <v>217</v>
      </c>
      <c r="D743" s="9" t="n">
        <v>3</v>
      </c>
      <c r="E743" s="30" t="n">
        <v>60402</v>
      </c>
      <c r="F743" s="30" t="n">
        <v>12702</v>
      </c>
      <c r="G743" s="35" t="n">
        <v>0.210291049965233</v>
      </c>
    </row>
    <row r="744" customFormat="false" ht="15" hidden="false" customHeight="false" outlineLevel="0" collapsed="false">
      <c r="A744" s="25" t="s">
        <v>1025</v>
      </c>
      <c r="B744" s="29" t="s">
        <v>962</v>
      </c>
      <c r="C744" s="29" t="s">
        <v>223</v>
      </c>
      <c r="D744" s="29" t="n">
        <v>47</v>
      </c>
      <c r="E744" s="31" t="n">
        <v>60254</v>
      </c>
      <c r="F744" s="31" t="n">
        <v>13489</v>
      </c>
      <c r="G744" s="37" t="n">
        <v>0.22386895475819</v>
      </c>
    </row>
    <row r="745" customFormat="false" ht="15" hidden="false" customHeight="false" outlineLevel="0" collapsed="false">
      <c r="A745" s="20" t="s">
        <v>1026</v>
      </c>
      <c r="B745" s="20" t="s">
        <v>1027</v>
      </c>
      <c r="C745" s="9" t="s">
        <v>223</v>
      </c>
      <c r="D745" s="9" t="n">
        <v>3</v>
      </c>
      <c r="E745" s="30" t="n">
        <v>60249</v>
      </c>
      <c r="F745" s="30" t="n">
        <v>48240</v>
      </c>
      <c r="G745" s="35" t="n">
        <v>0.800677189662899</v>
      </c>
    </row>
    <row r="746" customFormat="false" ht="15" hidden="false" customHeight="false" outlineLevel="0" collapsed="false">
      <c r="A746" s="25" t="s">
        <v>1028</v>
      </c>
      <c r="B746" s="25" t="s">
        <v>194</v>
      </c>
      <c r="C746" s="29" t="s">
        <v>195</v>
      </c>
      <c r="D746" s="29" t="n">
        <v>14</v>
      </c>
      <c r="E746" s="31" t="n">
        <v>60214</v>
      </c>
      <c r="F746" s="31" t="n">
        <v>14938</v>
      </c>
      <c r="G746" s="37" t="n">
        <v>0.248081841432225</v>
      </c>
    </row>
    <row r="747" customFormat="false" ht="15" hidden="false" customHeight="false" outlineLevel="0" collapsed="false">
      <c r="A747" s="20" t="s">
        <v>1029</v>
      </c>
      <c r="B747" s="20" t="s">
        <v>194</v>
      </c>
      <c r="C747" s="9" t="s">
        <v>334</v>
      </c>
      <c r="D747" s="9" t="n">
        <v>16</v>
      </c>
      <c r="E747" s="30" t="n">
        <v>60160</v>
      </c>
      <c r="F747" s="30" t="n">
        <v>11408</v>
      </c>
      <c r="G747" s="35" t="n">
        <v>0.189627659574468</v>
      </c>
    </row>
    <row r="748" customFormat="false" ht="15" hidden="false" customHeight="false" outlineLevel="0" collapsed="false">
      <c r="A748" s="25" t="s">
        <v>1030</v>
      </c>
      <c r="B748" s="25" t="s">
        <v>200</v>
      </c>
      <c r="C748" s="29" t="s">
        <v>297</v>
      </c>
      <c r="D748" s="29" t="n">
        <v>1</v>
      </c>
      <c r="E748" s="31" t="n">
        <v>60037</v>
      </c>
      <c r="F748" s="31" t="n">
        <v>19011</v>
      </c>
      <c r="G748" s="37" t="n">
        <v>0.316654729583424</v>
      </c>
    </row>
    <row r="749" customFormat="false" ht="15" hidden="false" customHeight="false" outlineLevel="0" collapsed="false">
      <c r="A749" s="20" t="s">
        <v>1031</v>
      </c>
      <c r="B749" s="20" t="s">
        <v>194</v>
      </c>
      <c r="C749" s="9" t="s">
        <v>516</v>
      </c>
      <c r="D749" s="9" t="n">
        <v>3</v>
      </c>
      <c r="E749" s="30" t="n">
        <v>59925</v>
      </c>
      <c r="F749" s="30" t="n">
        <v>30327</v>
      </c>
      <c r="G749" s="35" t="n">
        <v>0.506082603254068</v>
      </c>
    </row>
    <row r="750" customFormat="false" ht="15" hidden="false" customHeight="false" outlineLevel="0" collapsed="false">
      <c r="A750" s="25" t="s">
        <v>1032</v>
      </c>
      <c r="B750" s="25" t="s">
        <v>194</v>
      </c>
      <c r="C750" s="29" t="s">
        <v>430</v>
      </c>
      <c r="D750" s="29" t="n">
        <v>1</v>
      </c>
      <c r="E750" s="31" t="n">
        <v>59878</v>
      </c>
      <c r="F750" s="31" t="n">
        <v>6683</v>
      </c>
      <c r="G750" s="37" t="n">
        <v>0.111610274224256</v>
      </c>
    </row>
    <row r="751" customFormat="false" ht="15" hidden="false" customHeight="false" outlineLevel="0" collapsed="false">
      <c r="A751" s="20" t="s">
        <v>1033</v>
      </c>
      <c r="B751" s="20" t="s">
        <v>194</v>
      </c>
      <c r="C751" s="9" t="s">
        <v>223</v>
      </c>
      <c r="D751" s="9" t="n">
        <v>1</v>
      </c>
      <c r="E751" s="30" t="n">
        <v>59844</v>
      </c>
      <c r="F751" s="30" t="n">
        <v>9808</v>
      </c>
      <c r="G751" s="35" t="n">
        <v>0.163892787915246</v>
      </c>
    </row>
    <row r="752" customFormat="false" ht="15" hidden="false" customHeight="false" outlineLevel="0" collapsed="false">
      <c r="A752" s="25" t="s">
        <v>1034</v>
      </c>
      <c r="B752" s="29" t="s">
        <v>253</v>
      </c>
      <c r="C752" s="29" t="s">
        <v>254</v>
      </c>
      <c r="D752" s="29" t="n">
        <v>10</v>
      </c>
      <c r="E752" s="31" t="n">
        <v>59770</v>
      </c>
      <c r="F752" s="31" t="n">
        <v>55480</v>
      </c>
      <c r="G752" s="37" t="n">
        <v>0.928224861970888</v>
      </c>
    </row>
    <row r="753" customFormat="false" ht="15" hidden="false" customHeight="false" outlineLevel="0" collapsed="false">
      <c r="A753" s="20" t="s">
        <v>1035</v>
      </c>
      <c r="B753" s="9" t="s">
        <v>216</v>
      </c>
      <c r="C753" s="9" t="s">
        <v>428</v>
      </c>
      <c r="D753" s="9" t="n">
        <v>2</v>
      </c>
      <c r="E753" s="30" t="n">
        <v>59722</v>
      </c>
      <c r="F753" s="30" t="n">
        <v>30622</v>
      </c>
      <c r="G753" s="35" t="n">
        <v>0.512742372994876</v>
      </c>
    </row>
    <row r="754" customFormat="false" ht="15" hidden="false" customHeight="false" outlineLevel="0" collapsed="false">
      <c r="A754" s="25" t="s">
        <v>1036</v>
      </c>
      <c r="B754" s="25" t="s">
        <v>194</v>
      </c>
      <c r="C754" s="29" t="s">
        <v>203</v>
      </c>
      <c r="D754" s="29" t="n">
        <v>23</v>
      </c>
      <c r="E754" s="31" t="n">
        <v>59637</v>
      </c>
      <c r="F754" s="31" t="n">
        <v>19065</v>
      </c>
      <c r="G754" s="37" t="n">
        <v>0.319684088736858</v>
      </c>
    </row>
    <row r="755" customFormat="false" ht="15" hidden="false" customHeight="false" outlineLevel="0" collapsed="false">
      <c r="A755" s="20" t="s">
        <v>1037</v>
      </c>
      <c r="B755" s="20" t="s">
        <v>200</v>
      </c>
      <c r="C755" s="9" t="s">
        <v>880</v>
      </c>
      <c r="D755" s="9" t="n">
        <v>4</v>
      </c>
      <c r="E755" s="30" t="n">
        <v>59616</v>
      </c>
      <c r="F755" s="30" t="n">
        <v>53616</v>
      </c>
      <c r="G755" s="35" t="n">
        <v>0.899355877616747</v>
      </c>
    </row>
    <row r="756" customFormat="false" ht="15" hidden="false" customHeight="false" outlineLevel="0" collapsed="false">
      <c r="A756" s="25" t="s">
        <v>1038</v>
      </c>
      <c r="B756" s="25" t="s">
        <v>194</v>
      </c>
      <c r="C756" s="29" t="s">
        <v>203</v>
      </c>
      <c r="D756" s="29" t="n">
        <v>11</v>
      </c>
      <c r="E756" s="31" t="n">
        <v>59598</v>
      </c>
      <c r="F756" s="31" t="n">
        <v>27104</v>
      </c>
      <c r="G756" s="37" t="n">
        <v>0.454780361757106</v>
      </c>
    </row>
    <row r="757" customFormat="false" ht="15" hidden="false" customHeight="false" outlineLevel="0" collapsed="false">
      <c r="A757" s="20" t="s">
        <v>1039</v>
      </c>
      <c r="B757" s="9" t="s">
        <v>253</v>
      </c>
      <c r="C757" s="9" t="s">
        <v>254</v>
      </c>
      <c r="D757" s="9" t="n">
        <v>5</v>
      </c>
      <c r="E757" s="30" t="n">
        <v>59590</v>
      </c>
      <c r="F757" s="30" t="n">
        <v>56695</v>
      </c>
      <c r="G757" s="35" t="n">
        <v>0.951418023158248</v>
      </c>
    </row>
    <row r="758" customFormat="false" ht="15" hidden="false" customHeight="false" outlineLevel="0" collapsed="false">
      <c r="A758" s="25" t="s">
        <v>1040</v>
      </c>
      <c r="B758" s="25" t="s">
        <v>194</v>
      </c>
      <c r="C758" s="29" t="s">
        <v>203</v>
      </c>
      <c r="D758" s="29" t="n">
        <v>1</v>
      </c>
      <c r="E758" s="31" t="n">
        <v>59537</v>
      </c>
      <c r="F758" s="31" t="n">
        <v>8931</v>
      </c>
      <c r="G758" s="37" t="n">
        <v>0.150007558325075</v>
      </c>
    </row>
    <row r="759" customFormat="false" ht="15" hidden="false" customHeight="false" outlineLevel="0" collapsed="false">
      <c r="A759" s="20" t="s">
        <v>1041</v>
      </c>
      <c r="B759" s="20" t="s">
        <v>194</v>
      </c>
      <c r="C759" s="9" t="s">
        <v>195</v>
      </c>
      <c r="D759" s="9" t="n">
        <v>5</v>
      </c>
      <c r="E759" s="30" t="n">
        <v>59475</v>
      </c>
      <c r="F759" s="30" t="n">
        <v>42610</v>
      </c>
      <c r="G759" s="35" t="n">
        <v>0.716435477091215</v>
      </c>
    </row>
    <row r="760" customFormat="false" ht="15" hidden="false" customHeight="false" outlineLevel="0" collapsed="false">
      <c r="A760" s="25" t="s">
        <v>1042</v>
      </c>
      <c r="B760" s="25" t="s">
        <v>194</v>
      </c>
      <c r="C760" s="29" t="s">
        <v>297</v>
      </c>
      <c r="D760" s="29" t="n">
        <v>75</v>
      </c>
      <c r="E760" s="31" t="n">
        <v>59172</v>
      </c>
      <c r="F760" s="31" t="n">
        <v>43797</v>
      </c>
      <c r="G760" s="37" t="n">
        <v>0.740164266882985</v>
      </c>
    </row>
    <row r="761" customFormat="false" ht="15" hidden="false" customHeight="false" outlineLevel="0" collapsed="false">
      <c r="A761" s="20" t="s">
        <v>1043</v>
      </c>
      <c r="B761" s="9"/>
      <c r="C761" s="9" t="s">
        <v>428</v>
      </c>
      <c r="D761" s="9" t="n">
        <v>1</v>
      </c>
      <c r="E761" s="30" t="n">
        <v>59100</v>
      </c>
      <c r="F761" s="30" t="n">
        <v>20723</v>
      </c>
      <c r="G761" s="35" t="n">
        <v>0.350642978003384</v>
      </c>
    </row>
    <row r="762" customFormat="false" ht="15" hidden="false" customHeight="false" outlineLevel="0" collapsed="false">
      <c r="A762" s="25" t="s">
        <v>1044</v>
      </c>
      <c r="B762" s="25" t="s">
        <v>194</v>
      </c>
      <c r="C762" s="29" t="s">
        <v>203</v>
      </c>
      <c r="D762" s="29" t="n">
        <v>2</v>
      </c>
      <c r="E762" s="31" t="n">
        <v>58998</v>
      </c>
      <c r="F762" s="31" t="n">
        <v>19224</v>
      </c>
      <c r="G762" s="37" t="n">
        <v>0.325841553950981</v>
      </c>
    </row>
    <row r="763" customFormat="false" ht="15" hidden="false" customHeight="false" outlineLevel="0" collapsed="false">
      <c r="A763" s="20" t="s">
        <v>1045</v>
      </c>
      <c r="B763" s="20" t="s">
        <v>220</v>
      </c>
      <c r="C763" s="9" t="s">
        <v>217</v>
      </c>
      <c r="D763" s="9" t="n">
        <v>2</v>
      </c>
      <c r="E763" s="30" t="n">
        <v>58814</v>
      </c>
      <c r="F763" s="30" t="n">
        <v>25704</v>
      </c>
      <c r="G763" s="35" t="n">
        <v>0.437038800285646</v>
      </c>
    </row>
    <row r="764" customFormat="false" ht="15" hidden="false" customHeight="false" outlineLevel="0" collapsed="false">
      <c r="A764" s="25" t="s">
        <v>1046</v>
      </c>
      <c r="B764" s="29" t="s">
        <v>216</v>
      </c>
      <c r="C764" s="29" t="s">
        <v>428</v>
      </c>
      <c r="D764" s="29" t="n">
        <v>210</v>
      </c>
      <c r="E764" s="31" t="n">
        <v>58380</v>
      </c>
      <c r="F764" s="31" t="n">
        <v>38010</v>
      </c>
      <c r="G764" s="37" t="n">
        <v>0.651079136690647</v>
      </c>
    </row>
    <row r="765" customFormat="false" ht="15" hidden="false" customHeight="false" outlineLevel="0" collapsed="false">
      <c r="A765" s="20" t="s">
        <v>1047</v>
      </c>
      <c r="B765" s="20" t="s">
        <v>194</v>
      </c>
      <c r="C765" s="9" t="s">
        <v>203</v>
      </c>
      <c r="D765" s="9" t="n">
        <v>7</v>
      </c>
      <c r="E765" s="30" t="n">
        <v>58366</v>
      </c>
      <c r="F765" s="30" t="n">
        <v>24269</v>
      </c>
      <c r="G765" s="35" t="n">
        <v>0.415807147997122</v>
      </c>
    </row>
    <row r="766" customFormat="false" ht="15" hidden="false" customHeight="false" outlineLevel="0" collapsed="false">
      <c r="A766" s="25" t="s">
        <v>1048</v>
      </c>
      <c r="B766" s="25" t="s">
        <v>194</v>
      </c>
      <c r="C766" s="29" t="s">
        <v>203</v>
      </c>
      <c r="D766" s="29" t="n">
        <v>74</v>
      </c>
      <c r="E766" s="31" t="n">
        <v>58238</v>
      </c>
      <c r="F766" s="31" t="n">
        <v>27454</v>
      </c>
      <c r="G766" s="37" t="n">
        <v>0.47141041931385</v>
      </c>
    </row>
    <row r="767" customFormat="false" ht="15" hidden="false" customHeight="false" outlineLevel="0" collapsed="false">
      <c r="A767" s="20" t="s">
        <v>1049</v>
      </c>
      <c r="B767" s="20" t="s">
        <v>200</v>
      </c>
      <c r="C767" s="9" t="s">
        <v>428</v>
      </c>
      <c r="D767" s="9" t="n">
        <v>1</v>
      </c>
      <c r="E767" s="30" t="n">
        <v>58049</v>
      </c>
      <c r="F767" s="30" t="n">
        <v>11949</v>
      </c>
      <c r="G767" s="35" t="n">
        <v>0.205843339247877</v>
      </c>
    </row>
    <row r="768" customFormat="false" ht="15" hidden="false" customHeight="false" outlineLevel="0" collapsed="false">
      <c r="A768" s="25" t="s">
        <v>1050</v>
      </c>
      <c r="B768" s="25" t="s">
        <v>240</v>
      </c>
      <c r="C768" s="29" t="s">
        <v>391</v>
      </c>
      <c r="D768" s="29" t="n">
        <v>4</v>
      </c>
      <c r="E768" s="31" t="n">
        <v>57948</v>
      </c>
      <c r="F768" s="31" t="n">
        <v>12924</v>
      </c>
      <c r="G768" s="37" t="n">
        <v>0.223027541934148</v>
      </c>
    </row>
    <row r="769" customFormat="false" ht="15" hidden="false" customHeight="false" outlineLevel="0" collapsed="false">
      <c r="A769" s="20" t="s">
        <v>1051</v>
      </c>
      <c r="B769" s="9" t="s">
        <v>216</v>
      </c>
      <c r="C769" s="9" t="s">
        <v>428</v>
      </c>
      <c r="D769" s="9" t="n">
        <v>46</v>
      </c>
      <c r="E769" s="30" t="n">
        <v>57822</v>
      </c>
      <c r="F769" s="30" t="n">
        <v>17342</v>
      </c>
      <c r="G769" s="35" t="n">
        <v>0.299920445505171</v>
      </c>
    </row>
    <row r="770" customFormat="false" ht="15" hidden="false" customHeight="false" outlineLevel="0" collapsed="false">
      <c r="A770" s="25" t="s">
        <v>1052</v>
      </c>
      <c r="B770" s="29" t="s">
        <v>253</v>
      </c>
      <c r="C770" s="29" t="s">
        <v>428</v>
      </c>
      <c r="D770" s="29" t="n">
        <v>2</v>
      </c>
      <c r="E770" s="31" t="n">
        <v>57170</v>
      </c>
      <c r="F770" s="31" t="n">
        <v>18762</v>
      </c>
      <c r="G770" s="37" t="n">
        <v>0.328179114920413</v>
      </c>
    </row>
    <row r="771" customFormat="false" ht="15" hidden="false" customHeight="false" outlineLevel="0" collapsed="false">
      <c r="A771" s="20" t="s">
        <v>1053</v>
      </c>
      <c r="B771" s="20" t="s">
        <v>194</v>
      </c>
      <c r="C771" s="9" t="s">
        <v>195</v>
      </c>
      <c r="D771" s="9" t="n">
        <v>12</v>
      </c>
      <c r="E771" s="30" t="n">
        <v>57060</v>
      </c>
      <c r="F771" s="30" t="n">
        <v>10092</v>
      </c>
      <c r="G771" s="35" t="n">
        <v>0.176866456361725</v>
      </c>
    </row>
    <row r="772" customFormat="false" ht="15" hidden="false" customHeight="false" outlineLevel="0" collapsed="false">
      <c r="A772" s="25" t="s">
        <v>1054</v>
      </c>
      <c r="B772" s="29"/>
      <c r="C772" s="29" t="s">
        <v>428</v>
      </c>
      <c r="D772" s="29" t="n">
        <v>1</v>
      </c>
      <c r="E772" s="31" t="n">
        <v>56976</v>
      </c>
      <c r="F772" s="31" t="n">
        <v>8547</v>
      </c>
      <c r="G772" s="37" t="n">
        <v>0.150010530749789</v>
      </c>
    </row>
    <row r="773" customFormat="false" ht="15" hidden="false" customHeight="false" outlineLevel="0" collapsed="false">
      <c r="A773" s="20" t="s">
        <v>1055</v>
      </c>
      <c r="B773" s="20" t="s">
        <v>194</v>
      </c>
      <c r="C773" s="9" t="s">
        <v>236</v>
      </c>
      <c r="D773" s="9" t="n">
        <v>20</v>
      </c>
      <c r="E773" s="30" t="n">
        <v>56960</v>
      </c>
      <c r="F773" s="30" t="n">
        <v>50960</v>
      </c>
      <c r="G773" s="35" t="n">
        <v>0.894662921348315</v>
      </c>
    </row>
    <row r="774" customFormat="false" ht="15" hidden="false" customHeight="false" outlineLevel="0" collapsed="false">
      <c r="A774" s="25" t="s">
        <v>1056</v>
      </c>
      <c r="B774" s="29" t="s">
        <v>253</v>
      </c>
      <c r="C774" s="29" t="s">
        <v>355</v>
      </c>
      <c r="D774" s="29" t="n">
        <v>12</v>
      </c>
      <c r="E774" s="31" t="n">
        <v>56904</v>
      </c>
      <c r="F774" s="31" t="n">
        <v>8534</v>
      </c>
      <c r="G774" s="37" t="n">
        <v>0.149971882468719</v>
      </c>
    </row>
    <row r="775" customFormat="false" ht="15" hidden="false" customHeight="false" outlineLevel="0" collapsed="false">
      <c r="A775" s="20" t="s">
        <v>1057</v>
      </c>
      <c r="B775" s="20" t="s">
        <v>200</v>
      </c>
      <c r="C775" s="9" t="s">
        <v>223</v>
      </c>
      <c r="D775" s="9" t="n">
        <v>41</v>
      </c>
      <c r="E775" s="30" t="n">
        <v>56867</v>
      </c>
      <c r="F775" s="30" t="n">
        <v>4223</v>
      </c>
      <c r="G775" s="35" t="n">
        <v>0.0742609949531362</v>
      </c>
    </row>
    <row r="776" customFormat="false" ht="15" hidden="false" customHeight="false" outlineLevel="0" collapsed="false">
      <c r="A776" s="25" t="s">
        <v>1058</v>
      </c>
      <c r="B776" s="29" t="s">
        <v>1059</v>
      </c>
      <c r="C776" s="29" t="s">
        <v>290</v>
      </c>
      <c r="D776" s="29" t="n">
        <v>20</v>
      </c>
      <c r="E776" s="31" t="n">
        <v>56660</v>
      </c>
      <c r="F776" s="31" t="n">
        <v>8499</v>
      </c>
      <c r="G776" s="37" t="n">
        <v>0.15</v>
      </c>
    </row>
    <row r="777" customFormat="false" ht="15" hidden="false" customHeight="false" outlineLevel="0" collapsed="false">
      <c r="A777" s="20" t="s">
        <v>1060</v>
      </c>
      <c r="B777" s="20" t="s">
        <v>194</v>
      </c>
      <c r="C777" s="9" t="s">
        <v>368</v>
      </c>
      <c r="D777" s="9" t="n">
        <v>29</v>
      </c>
      <c r="E777" s="30" t="n">
        <v>56608</v>
      </c>
      <c r="F777" s="30" t="n">
        <v>8492</v>
      </c>
      <c r="G777" s="35" t="n">
        <v>0.150014132278123</v>
      </c>
    </row>
    <row r="778" customFormat="false" ht="15" hidden="false" customHeight="false" outlineLevel="0" collapsed="false">
      <c r="A778" s="25" t="s">
        <v>1061</v>
      </c>
      <c r="B778" s="25" t="s">
        <v>200</v>
      </c>
      <c r="C778" s="29" t="s">
        <v>223</v>
      </c>
      <c r="D778" s="29" t="n">
        <v>5</v>
      </c>
      <c r="E778" s="31" t="n">
        <v>56525</v>
      </c>
      <c r="F778" s="31" t="n">
        <v>8480</v>
      </c>
      <c r="G778" s="37" t="n">
        <v>0.150022114108801</v>
      </c>
    </row>
    <row r="779" customFormat="false" ht="15" hidden="false" customHeight="false" outlineLevel="0" collapsed="false">
      <c r="A779" s="20" t="s">
        <v>1062</v>
      </c>
      <c r="B779" s="20" t="s">
        <v>194</v>
      </c>
      <c r="C779" s="9" t="s">
        <v>430</v>
      </c>
      <c r="D779" s="9" t="n">
        <v>1</v>
      </c>
      <c r="E779" s="30" t="n">
        <v>56450</v>
      </c>
      <c r="F779" s="30" t="n">
        <v>11788</v>
      </c>
      <c r="G779" s="35" t="n">
        <v>0.208821966341895</v>
      </c>
    </row>
    <row r="780" customFormat="false" ht="15" hidden="false" customHeight="false" outlineLevel="0" collapsed="false">
      <c r="A780" s="25" t="s">
        <v>1063</v>
      </c>
      <c r="B780" s="25" t="s">
        <v>194</v>
      </c>
      <c r="C780" s="29" t="s">
        <v>439</v>
      </c>
      <c r="D780" s="29" t="n">
        <v>2</v>
      </c>
      <c r="E780" s="31" t="n">
        <v>56318</v>
      </c>
      <c r="F780" s="31" t="n">
        <v>29574</v>
      </c>
      <c r="G780" s="37" t="n">
        <v>0.525125182002202</v>
      </c>
    </row>
    <row r="781" customFormat="false" ht="15" hidden="false" customHeight="false" outlineLevel="0" collapsed="false">
      <c r="A781" s="20" t="s">
        <v>1064</v>
      </c>
      <c r="B781" s="20" t="s">
        <v>194</v>
      </c>
      <c r="C781" s="9" t="s">
        <v>236</v>
      </c>
      <c r="D781" s="9" t="n">
        <v>20</v>
      </c>
      <c r="E781" s="30" t="n">
        <v>56200</v>
      </c>
      <c r="F781" s="30" t="n">
        <v>50200</v>
      </c>
      <c r="G781" s="35" t="n">
        <v>0.893238434163701</v>
      </c>
    </row>
    <row r="782" customFormat="false" ht="15" hidden="false" customHeight="false" outlineLevel="0" collapsed="false">
      <c r="A782" s="25" t="s">
        <v>1065</v>
      </c>
      <c r="B782" s="29" t="s">
        <v>253</v>
      </c>
      <c r="C782" s="29" t="s">
        <v>254</v>
      </c>
      <c r="D782" s="29" t="n">
        <v>5</v>
      </c>
      <c r="E782" s="31" t="n">
        <v>56095</v>
      </c>
      <c r="F782" s="31" t="n">
        <v>53120</v>
      </c>
      <c r="G782" s="37" t="n">
        <v>0.946964970139941</v>
      </c>
    </row>
    <row r="783" customFormat="false" ht="15" hidden="false" customHeight="false" outlineLevel="0" collapsed="false">
      <c r="A783" s="20" t="s">
        <v>1066</v>
      </c>
      <c r="B783" s="20" t="s">
        <v>194</v>
      </c>
      <c r="C783" s="9" t="s">
        <v>203</v>
      </c>
      <c r="D783" s="9" t="n">
        <v>1</v>
      </c>
      <c r="E783" s="30" t="n">
        <v>55885</v>
      </c>
      <c r="F783" s="30" t="n">
        <v>19253</v>
      </c>
      <c r="G783" s="35" t="n">
        <v>0.344511049476604</v>
      </c>
    </row>
    <row r="784" customFormat="false" ht="15" hidden="false" customHeight="false" outlineLevel="0" collapsed="false">
      <c r="A784" s="25" t="s">
        <v>1067</v>
      </c>
      <c r="B784" s="29" t="s">
        <v>253</v>
      </c>
      <c r="C784" s="29" t="s">
        <v>355</v>
      </c>
      <c r="D784" s="29" t="n">
        <v>13</v>
      </c>
      <c r="E784" s="31" t="n">
        <v>55770</v>
      </c>
      <c r="F784" s="31" t="n">
        <v>49790</v>
      </c>
      <c r="G784" s="37" t="n">
        <v>0.892773892773893</v>
      </c>
    </row>
    <row r="785" customFormat="false" ht="15" hidden="false" customHeight="false" outlineLevel="0" collapsed="false">
      <c r="A785" s="20" t="s">
        <v>1068</v>
      </c>
      <c r="B785" s="20" t="s">
        <v>220</v>
      </c>
      <c r="C785" s="9" t="s">
        <v>217</v>
      </c>
      <c r="D785" s="9" t="n">
        <v>3</v>
      </c>
      <c r="E785" s="30" t="n">
        <v>55647</v>
      </c>
      <c r="F785" s="30" t="n">
        <v>24558</v>
      </c>
      <c r="G785" s="35" t="n">
        <v>0.441317591244811</v>
      </c>
    </row>
    <row r="786" customFormat="false" ht="15" hidden="false" customHeight="false" outlineLevel="0" collapsed="false">
      <c r="A786" s="25" t="s">
        <v>1069</v>
      </c>
      <c r="B786" s="25" t="s">
        <v>194</v>
      </c>
      <c r="C786" s="29" t="s">
        <v>195</v>
      </c>
      <c r="D786" s="29" t="n">
        <v>7</v>
      </c>
      <c r="E786" s="31" t="n">
        <v>55645</v>
      </c>
      <c r="F786" s="31" t="n">
        <v>24026</v>
      </c>
      <c r="G786" s="37" t="n">
        <v>0.431772845718393</v>
      </c>
    </row>
    <row r="787" customFormat="false" ht="15" hidden="false" customHeight="false" outlineLevel="0" collapsed="false">
      <c r="A787" s="20" t="s">
        <v>1070</v>
      </c>
      <c r="B787" s="20" t="s">
        <v>194</v>
      </c>
      <c r="C787" s="9" t="s">
        <v>217</v>
      </c>
      <c r="D787" s="9" t="n">
        <v>3</v>
      </c>
      <c r="E787" s="30" t="n">
        <v>55635</v>
      </c>
      <c r="F787" s="30" t="n">
        <v>10977</v>
      </c>
      <c r="G787" s="35" t="n">
        <v>0.197303855486654</v>
      </c>
    </row>
    <row r="788" customFormat="false" ht="15" hidden="false" customHeight="false" outlineLevel="0" collapsed="false">
      <c r="A788" s="25" t="s">
        <v>1071</v>
      </c>
      <c r="B788" s="25" t="s">
        <v>1072</v>
      </c>
      <c r="C788" s="29" t="s">
        <v>229</v>
      </c>
      <c r="D788" s="29" t="n">
        <v>4</v>
      </c>
      <c r="E788" s="31" t="n">
        <v>55440</v>
      </c>
      <c r="F788" s="31" t="n">
        <v>11440</v>
      </c>
      <c r="G788" s="37" t="n">
        <v>0.206349206349206</v>
      </c>
    </row>
    <row r="789" customFormat="false" ht="15" hidden="false" customHeight="false" outlineLevel="0" collapsed="false">
      <c r="A789" s="20" t="s">
        <v>1073</v>
      </c>
      <c r="B789" s="20" t="s">
        <v>194</v>
      </c>
      <c r="C789" s="9" t="s">
        <v>203</v>
      </c>
      <c r="D789" s="9" t="n">
        <v>71</v>
      </c>
      <c r="E789" s="30" t="n">
        <v>55380</v>
      </c>
      <c r="F789" s="30" t="n">
        <v>44020</v>
      </c>
      <c r="G789" s="35" t="n">
        <v>0.794871794871795</v>
      </c>
    </row>
    <row r="790" customFormat="false" ht="15" hidden="false" customHeight="false" outlineLevel="0" collapsed="false">
      <c r="A790" s="25" t="s">
        <v>1074</v>
      </c>
      <c r="B790" s="25" t="s">
        <v>194</v>
      </c>
      <c r="C790" s="29" t="s">
        <v>203</v>
      </c>
      <c r="D790" s="29" t="n">
        <v>71</v>
      </c>
      <c r="E790" s="31" t="n">
        <v>54883</v>
      </c>
      <c r="F790" s="31" t="n">
        <v>37843</v>
      </c>
      <c r="G790" s="37" t="n">
        <v>0.689521345407503</v>
      </c>
    </row>
    <row r="791" customFormat="false" ht="15" hidden="false" customHeight="false" outlineLevel="0" collapsed="false">
      <c r="A791" s="20" t="s">
        <v>1075</v>
      </c>
      <c r="B791" s="9" t="s">
        <v>216</v>
      </c>
      <c r="C791" s="9" t="s">
        <v>428</v>
      </c>
      <c r="D791" s="9" t="n">
        <v>46</v>
      </c>
      <c r="E791" s="30" t="n">
        <v>54740</v>
      </c>
      <c r="F791" s="30" t="n">
        <v>13800</v>
      </c>
      <c r="G791" s="35" t="n">
        <v>0.252100840336134</v>
      </c>
    </row>
    <row r="792" customFormat="false" ht="15" hidden="false" customHeight="false" outlineLevel="0" collapsed="false">
      <c r="A792" s="25" t="s">
        <v>1076</v>
      </c>
      <c r="B792" s="25" t="s">
        <v>194</v>
      </c>
      <c r="C792" s="29" t="s">
        <v>334</v>
      </c>
      <c r="D792" s="29" t="n">
        <v>8</v>
      </c>
      <c r="E792" s="31" t="n">
        <v>54488</v>
      </c>
      <c r="F792" s="31" t="n">
        <v>7960</v>
      </c>
      <c r="G792" s="37" t="n">
        <v>0.146087211863163</v>
      </c>
    </row>
    <row r="793" customFormat="false" ht="15" hidden="false" customHeight="false" outlineLevel="0" collapsed="false">
      <c r="A793" s="20" t="s">
        <v>1077</v>
      </c>
      <c r="B793" s="20" t="s">
        <v>194</v>
      </c>
      <c r="C793" s="9" t="s">
        <v>203</v>
      </c>
      <c r="D793" s="9" t="n">
        <v>14</v>
      </c>
      <c r="E793" s="30" t="n">
        <v>54376</v>
      </c>
      <c r="F793" s="30" t="n">
        <v>24584</v>
      </c>
      <c r="G793" s="35" t="n">
        <v>0.45211122554068</v>
      </c>
    </row>
    <row r="794" customFormat="false" ht="15" hidden="false" customHeight="false" outlineLevel="0" collapsed="false">
      <c r="A794" s="25" t="s">
        <v>1078</v>
      </c>
      <c r="B794" s="25" t="s">
        <v>194</v>
      </c>
      <c r="C794" s="29" t="s">
        <v>203</v>
      </c>
      <c r="D794" s="29" t="n">
        <v>26</v>
      </c>
      <c r="E794" s="31" t="n">
        <v>54158</v>
      </c>
      <c r="F794" s="31" t="n">
        <v>14846</v>
      </c>
      <c r="G794" s="37" t="n">
        <v>0.274123859817571</v>
      </c>
    </row>
    <row r="795" customFormat="false" ht="15" hidden="false" customHeight="false" outlineLevel="0" collapsed="false">
      <c r="A795" s="20" t="s">
        <v>1079</v>
      </c>
      <c r="B795" s="9" t="s">
        <v>253</v>
      </c>
      <c r="C795" s="9" t="s">
        <v>254</v>
      </c>
      <c r="D795" s="9" t="n">
        <v>5</v>
      </c>
      <c r="E795" s="30" t="n">
        <v>54080</v>
      </c>
      <c r="F795" s="30" t="n">
        <v>51180</v>
      </c>
      <c r="G795" s="35" t="n">
        <v>0.94637573964497</v>
      </c>
    </row>
    <row r="796" customFormat="false" ht="15" hidden="false" customHeight="false" outlineLevel="0" collapsed="false">
      <c r="A796" s="25" t="s">
        <v>1080</v>
      </c>
      <c r="B796" s="25" t="s">
        <v>194</v>
      </c>
      <c r="C796" s="29" t="s">
        <v>223</v>
      </c>
      <c r="D796" s="29" t="n">
        <v>33</v>
      </c>
      <c r="E796" s="31" t="n">
        <v>54054</v>
      </c>
      <c r="F796" s="31" t="n">
        <v>39204</v>
      </c>
      <c r="G796" s="37" t="n">
        <v>0.725274725274725</v>
      </c>
    </row>
    <row r="797" customFormat="false" ht="15" hidden="false" customHeight="false" outlineLevel="0" collapsed="false">
      <c r="A797" s="20" t="s">
        <v>1081</v>
      </c>
      <c r="B797" s="20" t="s">
        <v>240</v>
      </c>
      <c r="C797" s="9" t="s">
        <v>386</v>
      </c>
      <c r="D797" s="9" t="n">
        <v>7</v>
      </c>
      <c r="E797" s="30" t="n">
        <v>54047</v>
      </c>
      <c r="F797" s="30" t="n">
        <v>-29995</v>
      </c>
      <c r="G797" s="35" t="n">
        <v>-0.554979924880197</v>
      </c>
    </row>
    <row r="798" customFormat="false" ht="15" hidden="false" customHeight="false" outlineLevel="0" collapsed="false">
      <c r="A798" s="25" t="s">
        <v>1082</v>
      </c>
      <c r="B798" s="25" t="s">
        <v>194</v>
      </c>
      <c r="C798" s="29" t="s">
        <v>203</v>
      </c>
      <c r="D798" s="29" t="n">
        <v>2</v>
      </c>
      <c r="E798" s="31" t="n">
        <v>53896</v>
      </c>
      <c r="F798" s="31" t="n">
        <v>14612</v>
      </c>
      <c r="G798" s="37" t="n">
        <v>0.271114739498293</v>
      </c>
    </row>
    <row r="799" customFormat="false" ht="15" hidden="false" customHeight="false" outlineLevel="0" collapsed="false">
      <c r="A799" s="20" t="s">
        <v>1083</v>
      </c>
      <c r="B799" s="20" t="s">
        <v>194</v>
      </c>
      <c r="C799" s="9" t="s">
        <v>197</v>
      </c>
      <c r="D799" s="9" t="n">
        <v>6</v>
      </c>
      <c r="E799" s="30" t="n">
        <v>53808</v>
      </c>
      <c r="F799" s="30" t="n">
        <v>26958</v>
      </c>
      <c r="G799" s="35" t="n">
        <v>0.501003568242641</v>
      </c>
    </row>
    <row r="800" customFormat="false" ht="15" hidden="false" customHeight="false" outlineLevel="0" collapsed="false">
      <c r="A800" s="25" t="s">
        <v>1084</v>
      </c>
      <c r="B800" s="25" t="s">
        <v>220</v>
      </c>
      <c r="C800" s="29" t="s">
        <v>229</v>
      </c>
      <c r="D800" s="29" t="n">
        <v>8</v>
      </c>
      <c r="E800" s="31" t="n">
        <v>53776</v>
      </c>
      <c r="F800" s="31" t="n">
        <v>9296</v>
      </c>
      <c r="G800" s="37" t="n">
        <v>0.172865218684915</v>
      </c>
    </row>
    <row r="801" customFormat="false" ht="15" hidden="false" customHeight="false" outlineLevel="0" collapsed="false">
      <c r="A801" s="20" t="s">
        <v>1085</v>
      </c>
      <c r="B801" s="20" t="s">
        <v>194</v>
      </c>
      <c r="C801" s="9" t="s">
        <v>203</v>
      </c>
      <c r="D801" s="9" t="n">
        <v>14</v>
      </c>
      <c r="E801" s="30" t="n">
        <v>53760</v>
      </c>
      <c r="F801" s="30" t="n">
        <v>36510</v>
      </c>
      <c r="G801" s="35" t="n">
        <v>0.679129464285714</v>
      </c>
    </row>
    <row r="802" customFormat="false" ht="15" hidden="false" customHeight="false" outlineLevel="0" collapsed="false">
      <c r="A802" s="25" t="s">
        <v>1086</v>
      </c>
      <c r="B802" s="25" t="s">
        <v>194</v>
      </c>
      <c r="C802" s="29" t="s">
        <v>203</v>
      </c>
      <c r="D802" s="29" t="n">
        <v>70</v>
      </c>
      <c r="E802" s="31" t="n">
        <v>53690</v>
      </c>
      <c r="F802" s="31" t="n">
        <v>43190</v>
      </c>
      <c r="G802" s="37" t="n">
        <v>0.804432855280313</v>
      </c>
    </row>
    <row r="803" customFormat="false" ht="15" hidden="false" customHeight="false" outlineLevel="0" collapsed="false">
      <c r="A803" s="20" t="s">
        <v>1087</v>
      </c>
      <c r="B803" s="20" t="s">
        <v>194</v>
      </c>
      <c r="C803" s="9" t="s">
        <v>206</v>
      </c>
      <c r="D803" s="9" t="n">
        <v>1</v>
      </c>
      <c r="E803" s="30" t="n">
        <v>53585</v>
      </c>
      <c r="F803" s="30" t="n">
        <v>3613</v>
      </c>
      <c r="G803" s="35" t="n">
        <v>0.0674255855183353</v>
      </c>
    </row>
    <row r="804" customFormat="false" ht="15" hidden="false" customHeight="false" outlineLevel="0" collapsed="false">
      <c r="A804" s="25" t="s">
        <v>1088</v>
      </c>
      <c r="B804" s="25" t="s">
        <v>194</v>
      </c>
      <c r="C804" s="29" t="s">
        <v>195</v>
      </c>
      <c r="D804" s="29" t="n">
        <v>2</v>
      </c>
      <c r="E804" s="31" t="n">
        <v>53582</v>
      </c>
      <c r="F804" s="31" t="n">
        <v>-2854</v>
      </c>
      <c r="G804" s="37" t="n">
        <v>-0.053264155873241</v>
      </c>
    </row>
    <row r="805" customFormat="false" ht="15" hidden="false" customHeight="false" outlineLevel="0" collapsed="false">
      <c r="A805" s="20" t="s">
        <v>1089</v>
      </c>
      <c r="B805" s="20" t="s">
        <v>200</v>
      </c>
      <c r="C805" s="9" t="s">
        <v>428</v>
      </c>
      <c r="D805" s="9" t="n">
        <v>20</v>
      </c>
      <c r="E805" s="30" t="n">
        <v>53560</v>
      </c>
      <c r="F805" s="30" t="n">
        <v>23920</v>
      </c>
      <c r="G805" s="35" t="n">
        <v>0.446601941747573</v>
      </c>
    </row>
    <row r="806" customFormat="false" ht="15" hidden="false" customHeight="false" outlineLevel="0" collapsed="false">
      <c r="A806" s="25" t="s">
        <v>1090</v>
      </c>
      <c r="B806" s="25" t="s">
        <v>194</v>
      </c>
      <c r="C806" s="29" t="s">
        <v>195</v>
      </c>
      <c r="D806" s="29" t="n">
        <v>20</v>
      </c>
      <c r="E806" s="31" t="n">
        <v>53320</v>
      </c>
      <c r="F806" s="31" t="n">
        <v>7998</v>
      </c>
      <c r="G806" s="37" t="n">
        <v>0.15</v>
      </c>
    </row>
    <row r="807" customFormat="false" ht="15" hidden="false" customHeight="false" outlineLevel="0" collapsed="false">
      <c r="A807" s="20" t="s">
        <v>1091</v>
      </c>
      <c r="B807" s="20" t="s">
        <v>194</v>
      </c>
      <c r="C807" s="9" t="s">
        <v>203</v>
      </c>
      <c r="D807" s="9" t="n">
        <v>1</v>
      </c>
      <c r="E807" s="30" t="n">
        <v>53072</v>
      </c>
      <c r="F807" s="30" t="n">
        <v>14882</v>
      </c>
      <c r="G807" s="35" t="n">
        <v>0.28041151643051</v>
      </c>
    </row>
    <row r="808" customFormat="false" ht="15" hidden="false" customHeight="false" outlineLevel="0" collapsed="false">
      <c r="A808" s="25" t="s">
        <v>1092</v>
      </c>
      <c r="B808" s="29" t="s">
        <v>253</v>
      </c>
      <c r="C808" s="29" t="s">
        <v>254</v>
      </c>
      <c r="D808" s="29" t="n">
        <v>4</v>
      </c>
      <c r="E808" s="31" t="n">
        <v>52952</v>
      </c>
      <c r="F808" s="31" t="n">
        <v>48264</v>
      </c>
      <c r="G808" s="37" t="n">
        <v>0.911466988971144</v>
      </c>
    </row>
    <row r="809" customFormat="false" ht="15" hidden="false" customHeight="false" outlineLevel="0" collapsed="false">
      <c r="A809" s="20" t="s">
        <v>1093</v>
      </c>
      <c r="B809" s="9" t="s">
        <v>1094</v>
      </c>
      <c r="C809" s="9" t="s">
        <v>290</v>
      </c>
      <c r="D809" s="9" t="n">
        <v>15</v>
      </c>
      <c r="E809" s="30" t="n">
        <v>52725</v>
      </c>
      <c r="F809" s="30" t="n">
        <v>25305</v>
      </c>
      <c r="G809" s="35" t="n">
        <v>0.479943100995733</v>
      </c>
    </row>
    <row r="810" customFormat="false" ht="15" hidden="false" customHeight="false" outlineLevel="0" collapsed="false">
      <c r="A810" s="25" t="s">
        <v>1095</v>
      </c>
      <c r="B810" s="29" t="s">
        <v>1096</v>
      </c>
      <c r="C810" s="29" t="s">
        <v>430</v>
      </c>
      <c r="D810" s="29" t="n">
        <v>10</v>
      </c>
      <c r="E810" s="31" t="n">
        <v>52700</v>
      </c>
      <c r="F810" s="31" t="n">
        <v>7905</v>
      </c>
      <c r="G810" s="37" t="n">
        <v>0.15</v>
      </c>
    </row>
    <row r="811" customFormat="false" ht="15" hidden="false" customHeight="false" outlineLevel="0" collapsed="false">
      <c r="A811" s="20" t="s">
        <v>1097</v>
      </c>
      <c r="B811" s="20" t="s">
        <v>194</v>
      </c>
      <c r="C811" s="9" t="s">
        <v>485</v>
      </c>
      <c r="D811" s="9" t="n">
        <v>2</v>
      </c>
      <c r="E811" s="30" t="n">
        <v>52542</v>
      </c>
      <c r="F811" s="30" t="n">
        <v>10918</v>
      </c>
      <c r="G811" s="35" t="n">
        <v>0.207795668227323</v>
      </c>
    </row>
    <row r="812" customFormat="false" ht="15" hidden="false" customHeight="false" outlineLevel="0" collapsed="false">
      <c r="A812" s="25" t="s">
        <v>1098</v>
      </c>
      <c r="B812" s="25" t="s">
        <v>194</v>
      </c>
      <c r="C812" s="29" t="s">
        <v>634</v>
      </c>
      <c r="D812" s="29" t="n">
        <v>4</v>
      </c>
      <c r="E812" s="31" t="n">
        <v>52352</v>
      </c>
      <c r="F812" s="31" t="n">
        <v>12476</v>
      </c>
      <c r="G812" s="37" t="n">
        <v>0.238309902200489</v>
      </c>
    </row>
    <row r="813" customFormat="false" ht="15" hidden="false" customHeight="false" outlineLevel="0" collapsed="false">
      <c r="A813" s="20" t="s">
        <v>1099</v>
      </c>
      <c r="B813" s="20" t="s">
        <v>194</v>
      </c>
      <c r="C813" s="9" t="s">
        <v>201</v>
      </c>
      <c r="D813" s="9" t="n">
        <v>3</v>
      </c>
      <c r="E813" s="30" t="n">
        <v>52224</v>
      </c>
      <c r="F813" s="30" t="n">
        <v>22626</v>
      </c>
      <c r="G813" s="35" t="n">
        <v>0.433249080882353</v>
      </c>
    </row>
    <row r="814" customFormat="false" ht="15" hidden="false" customHeight="false" outlineLevel="0" collapsed="false">
      <c r="A814" s="25" t="s">
        <v>1100</v>
      </c>
      <c r="B814" s="25" t="s">
        <v>194</v>
      </c>
      <c r="C814" s="29" t="s">
        <v>203</v>
      </c>
      <c r="D814" s="29" t="n">
        <v>8</v>
      </c>
      <c r="E814" s="31" t="n">
        <v>52144</v>
      </c>
      <c r="F814" s="31" t="n">
        <v>15064</v>
      </c>
      <c r="G814" s="37" t="n">
        <v>0.288892298250997</v>
      </c>
    </row>
    <row r="815" customFormat="false" ht="15" hidden="false" customHeight="false" outlineLevel="0" collapsed="false">
      <c r="A815" s="20" t="s">
        <v>1101</v>
      </c>
      <c r="B815" s="20" t="s">
        <v>194</v>
      </c>
      <c r="C815" s="9" t="s">
        <v>203</v>
      </c>
      <c r="D815" s="9" t="n">
        <v>14</v>
      </c>
      <c r="E815" s="30" t="n">
        <v>52114</v>
      </c>
      <c r="F815" s="30" t="n">
        <v>6264</v>
      </c>
      <c r="G815" s="35" t="n">
        <v>0.120198027401466</v>
      </c>
    </row>
    <row r="816" customFormat="false" ht="15" hidden="false" customHeight="false" outlineLevel="0" collapsed="false">
      <c r="A816" s="25" t="s">
        <v>1102</v>
      </c>
      <c r="B816" s="25" t="s">
        <v>194</v>
      </c>
      <c r="C816" s="29" t="s">
        <v>203</v>
      </c>
      <c r="D816" s="29" t="n">
        <v>6</v>
      </c>
      <c r="E816" s="31" t="n">
        <v>52044</v>
      </c>
      <c r="F816" s="31" t="n">
        <v>29508</v>
      </c>
      <c r="G816" s="37" t="n">
        <v>0.566981784643763</v>
      </c>
    </row>
    <row r="817" customFormat="false" ht="15" hidden="false" customHeight="false" outlineLevel="0" collapsed="false">
      <c r="A817" s="20" t="s">
        <v>1103</v>
      </c>
      <c r="B817" s="20" t="s">
        <v>200</v>
      </c>
      <c r="C817" s="9" t="s">
        <v>428</v>
      </c>
      <c r="D817" s="9" t="n">
        <v>20</v>
      </c>
      <c r="E817" s="30" t="n">
        <v>51440</v>
      </c>
      <c r="F817" s="30" t="n">
        <v>22700</v>
      </c>
      <c r="G817" s="35" t="n">
        <v>0.441290824261275</v>
      </c>
    </row>
    <row r="818" customFormat="false" ht="15" hidden="false" customHeight="false" outlineLevel="0" collapsed="false">
      <c r="A818" s="25" t="s">
        <v>1104</v>
      </c>
      <c r="B818" s="25" t="s">
        <v>240</v>
      </c>
      <c r="C818" s="29" t="s">
        <v>368</v>
      </c>
      <c r="D818" s="29" t="n">
        <v>79</v>
      </c>
      <c r="E818" s="31" t="n">
        <v>51361</v>
      </c>
      <c r="F818" s="31" t="n">
        <v>7706</v>
      </c>
      <c r="G818" s="37" t="n">
        <v>0.150036019547906</v>
      </c>
    </row>
    <row r="819" customFormat="false" ht="15" hidden="false" customHeight="false" outlineLevel="0" collapsed="false">
      <c r="A819" s="20" t="s">
        <v>1105</v>
      </c>
      <c r="B819" s="9" t="s">
        <v>253</v>
      </c>
      <c r="C819" s="9" t="s">
        <v>223</v>
      </c>
      <c r="D819" s="9" t="n">
        <v>29</v>
      </c>
      <c r="E819" s="30" t="n">
        <v>51243</v>
      </c>
      <c r="F819" s="30" t="n">
        <v>23374</v>
      </c>
      <c r="G819" s="35" t="n">
        <v>0.456140350877193</v>
      </c>
    </row>
    <row r="820" customFormat="false" ht="15" hidden="false" customHeight="false" outlineLevel="0" collapsed="false">
      <c r="A820" s="25" t="s">
        <v>1106</v>
      </c>
      <c r="B820" s="25" t="s">
        <v>194</v>
      </c>
      <c r="C820" s="29" t="s">
        <v>334</v>
      </c>
      <c r="D820" s="29" t="n">
        <v>1</v>
      </c>
      <c r="E820" s="31" t="n">
        <v>51066</v>
      </c>
      <c r="F820" s="31" t="n">
        <v>14136</v>
      </c>
      <c r="G820" s="37" t="n">
        <v>0.276818235225003</v>
      </c>
    </row>
    <row r="821" customFormat="false" ht="15" hidden="false" customHeight="false" outlineLevel="0" collapsed="false">
      <c r="A821" s="20" t="s">
        <v>1107</v>
      </c>
      <c r="B821" s="9" t="s">
        <v>281</v>
      </c>
      <c r="C821" s="9" t="s">
        <v>203</v>
      </c>
      <c r="D821" s="9" t="n">
        <v>72</v>
      </c>
      <c r="E821" s="30" t="n">
        <v>51048</v>
      </c>
      <c r="F821" s="30" t="n">
        <v>-23760</v>
      </c>
      <c r="G821" s="35" t="n">
        <v>-0.465444287729196</v>
      </c>
    </row>
    <row r="822" customFormat="false" ht="15" hidden="false" customHeight="false" outlineLevel="0" collapsed="false">
      <c r="A822" s="25" t="s">
        <v>1108</v>
      </c>
      <c r="B822" s="25" t="s">
        <v>194</v>
      </c>
      <c r="C822" s="29" t="s">
        <v>201</v>
      </c>
      <c r="D822" s="29" t="n">
        <v>4</v>
      </c>
      <c r="E822" s="31" t="n">
        <v>51004</v>
      </c>
      <c r="F822" s="31" t="n">
        <v>6408</v>
      </c>
      <c r="G822" s="37" t="n">
        <v>0.125637204925104</v>
      </c>
    </row>
    <row r="823" customFormat="false" ht="15" hidden="false" customHeight="false" outlineLevel="0" collapsed="false">
      <c r="A823" s="20" t="s">
        <v>1109</v>
      </c>
      <c r="B823" s="20" t="s">
        <v>194</v>
      </c>
      <c r="C823" s="9" t="s">
        <v>201</v>
      </c>
      <c r="D823" s="9" t="n">
        <v>4</v>
      </c>
      <c r="E823" s="30" t="n">
        <v>50912</v>
      </c>
      <c r="F823" s="30" t="n">
        <v>11496</v>
      </c>
      <c r="G823" s="35" t="n">
        <v>0.225801382778127</v>
      </c>
    </row>
    <row r="824" customFormat="false" ht="15" hidden="false" customHeight="false" outlineLevel="0" collapsed="false">
      <c r="A824" s="25" t="s">
        <v>1110</v>
      </c>
      <c r="B824" s="29" t="s">
        <v>1111</v>
      </c>
      <c r="C824" s="29" t="s">
        <v>290</v>
      </c>
      <c r="D824" s="29" t="n">
        <v>2</v>
      </c>
      <c r="E824" s="31" t="n">
        <v>50856</v>
      </c>
      <c r="F824" s="31" t="n">
        <v>9724</v>
      </c>
      <c r="G824" s="37" t="n">
        <v>0.19120654396728</v>
      </c>
    </row>
    <row r="825" customFormat="false" ht="15" hidden="false" customHeight="false" outlineLevel="0" collapsed="false">
      <c r="A825" s="20" t="s">
        <v>1112</v>
      </c>
      <c r="B825" s="9" t="s">
        <v>281</v>
      </c>
      <c r="C825" s="9" t="s">
        <v>197</v>
      </c>
      <c r="D825" s="9" t="n">
        <v>4</v>
      </c>
      <c r="E825" s="30" t="n">
        <v>50676</v>
      </c>
      <c r="F825" s="30" t="n">
        <v>17832</v>
      </c>
      <c r="G825" s="35" t="n">
        <v>0.351882547951693</v>
      </c>
    </row>
    <row r="826" customFormat="false" ht="15" hidden="false" customHeight="false" outlineLevel="0" collapsed="false">
      <c r="A826" s="25" t="s">
        <v>1113</v>
      </c>
      <c r="B826" s="25" t="s">
        <v>194</v>
      </c>
      <c r="C826" s="29" t="s">
        <v>334</v>
      </c>
      <c r="D826" s="29" t="n">
        <v>16</v>
      </c>
      <c r="E826" s="31" t="n">
        <v>50464</v>
      </c>
      <c r="F826" s="31" t="n">
        <v>19120</v>
      </c>
      <c r="G826" s="37" t="n">
        <v>0.378883956880152</v>
      </c>
    </row>
    <row r="827" customFormat="false" ht="15" hidden="false" customHeight="false" outlineLevel="0" collapsed="false">
      <c r="A827" s="20" t="s">
        <v>1114</v>
      </c>
      <c r="B827" s="20" t="s">
        <v>194</v>
      </c>
      <c r="C827" s="9" t="s">
        <v>203</v>
      </c>
      <c r="D827" s="9" t="n">
        <v>1</v>
      </c>
      <c r="E827" s="30" t="n">
        <v>49791</v>
      </c>
      <c r="F827" s="30" t="n">
        <v>6242</v>
      </c>
      <c r="G827" s="35" t="n">
        <v>0.125364021610331</v>
      </c>
    </row>
    <row r="828" customFormat="false" ht="15" hidden="false" customHeight="false" outlineLevel="0" collapsed="false">
      <c r="A828" s="25" t="s">
        <v>1115</v>
      </c>
      <c r="B828" s="25" t="s">
        <v>194</v>
      </c>
      <c r="C828" s="29" t="s">
        <v>334</v>
      </c>
      <c r="D828" s="29" t="n">
        <v>4</v>
      </c>
      <c r="E828" s="31" t="n">
        <v>49780</v>
      </c>
      <c r="F828" s="31" t="n">
        <v>21012</v>
      </c>
      <c r="G828" s="37" t="n">
        <v>0.42209722780233</v>
      </c>
    </row>
    <row r="829" customFormat="false" ht="15" hidden="false" customHeight="false" outlineLevel="0" collapsed="false">
      <c r="A829" s="20" t="s">
        <v>1116</v>
      </c>
      <c r="B829" s="20" t="s">
        <v>194</v>
      </c>
      <c r="C829" s="9" t="s">
        <v>768</v>
      </c>
      <c r="D829" s="9" t="n">
        <v>1</v>
      </c>
      <c r="E829" s="30" t="n">
        <v>49764</v>
      </c>
      <c r="F829" s="30" t="n">
        <v>8482</v>
      </c>
      <c r="G829" s="35" t="n">
        <v>0.170444498030705</v>
      </c>
    </row>
    <row r="830" customFormat="false" ht="15" hidden="false" customHeight="false" outlineLevel="0" collapsed="false">
      <c r="A830" s="25" t="s">
        <v>1117</v>
      </c>
      <c r="B830" s="29" t="s">
        <v>253</v>
      </c>
      <c r="C830" s="29" t="s">
        <v>428</v>
      </c>
      <c r="D830" s="29" t="n">
        <v>210</v>
      </c>
      <c r="E830" s="31" t="n">
        <v>49560</v>
      </c>
      <c r="F830" s="31" t="n">
        <v>34650</v>
      </c>
      <c r="G830" s="37" t="n">
        <v>0.699152542372881</v>
      </c>
    </row>
    <row r="831" customFormat="false" ht="15" hidden="false" customHeight="false" outlineLevel="0" collapsed="false">
      <c r="A831" s="20" t="s">
        <v>1118</v>
      </c>
      <c r="B831" s="20" t="s">
        <v>194</v>
      </c>
      <c r="C831" s="9" t="s">
        <v>217</v>
      </c>
      <c r="D831" s="9" t="n">
        <v>10</v>
      </c>
      <c r="E831" s="30" t="n">
        <v>49390</v>
      </c>
      <c r="F831" s="30" t="n">
        <v>11120</v>
      </c>
      <c r="G831" s="35" t="n">
        <v>0.22514679084835</v>
      </c>
    </row>
    <row r="832" customFormat="false" ht="15" hidden="false" customHeight="false" outlineLevel="0" collapsed="false">
      <c r="A832" s="25" t="s">
        <v>1119</v>
      </c>
      <c r="B832" s="25" t="s">
        <v>308</v>
      </c>
      <c r="C832" s="29" t="s">
        <v>439</v>
      </c>
      <c r="D832" s="29" t="n">
        <v>83</v>
      </c>
      <c r="E832" s="31" t="n">
        <v>49387</v>
      </c>
      <c r="F832" s="31" t="n">
        <v>7401</v>
      </c>
      <c r="G832" s="37" t="n">
        <v>0.149857249883573</v>
      </c>
    </row>
    <row r="833" customFormat="false" ht="15" hidden="false" customHeight="false" outlineLevel="0" collapsed="false">
      <c r="A833" s="20" t="s">
        <v>1120</v>
      </c>
      <c r="B833" s="20" t="s">
        <v>200</v>
      </c>
      <c r="C833" s="9" t="s">
        <v>201</v>
      </c>
      <c r="D833" s="9" t="n">
        <v>4</v>
      </c>
      <c r="E833" s="30" t="n">
        <v>49360</v>
      </c>
      <c r="F833" s="30" t="n">
        <v>8160</v>
      </c>
      <c r="G833" s="35" t="n">
        <v>0.165316045380875</v>
      </c>
    </row>
    <row r="834" customFormat="false" ht="15" hidden="false" customHeight="false" outlineLevel="0" collapsed="false">
      <c r="A834" s="25" t="s">
        <v>1121</v>
      </c>
      <c r="B834" s="25" t="s">
        <v>194</v>
      </c>
      <c r="C834" s="29" t="s">
        <v>682</v>
      </c>
      <c r="D834" s="29" t="n">
        <v>2</v>
      </c>
      <c r="E834" s="31" t="n">
        <v>49222</v>
      </c>
      <c r="F834" s="31" t="n">
        <v>5442</v>
      </c>
      <c r="G834" s="37" t="n">
        <v>0.110560318556743</v>
      </c>
    </row>
    <row r="835" customFormat="false" ht="15" hidden="false" customHeight="false" outlineLevel="0" collapsed="false">
      <c r="A835" s="20" t="s">
        <v>1122</v>
      </c>
      <c r="B835" s="9" t="s">
        <v>253</v>
      </c>
      <c r="C835" s="9" t="s">
        <v>254</v>
      </c>
      <c r="D835" s="9" t="n">
        <v>5</v>
      </c>
      <c r="E835" s="30" t="n">
        <v>49215</v>
      </c>
      <c r="F835" s="30" t="n">
        <v>46415</v>
      </c>
      <c r="G835" s="35" t="n">
        <v>0.943106776389312</v>
      </c>
    </row>
    <row r="836" customFormat="false" ht="15" hidden="false" customHeight="false" outlineLevel="0" collapsed="false">
      <c r="A836" s="25" t="s">
        <v>1123</v>
      </c>
      <c r="B836" s="25" t="s">
        <v>194</v>
      </c>
      <c r="C836" s="29" t="s">
        <v>209</v>
      </c>
      <c r="D836" s="29" t="n">
        <v>93</v>
      </c>
      <c r="E836" s="31" t="n">
        <v>49197</v>
      </c>
      <c r="F836" s="31" t="n">
        <v>25389</v>
      </c>
      <c r="G836" s="37" t="n">
        <v>0.516068052930057</v>
      </c>
    </row>
    <row r="837" customFormat="false" ht="15" hidden="false" customHeight="false" outlineLevel="0" collapsed="false">
      <c r="A837" s="20" t="s">
        <v>1124</v>
      </c>
      <c r="B837" s="20" t="s">
        <v>200</v>
      </c>
      <c r="C837" s="9" t="s">
        <v>880</v>
      </c>
      <c r="D837" s="9" t="n">
        <v>3</v>
      </c>
      <c r="E837" s="30" t="n">
        <v>49125</v>
      </c>
      <c r="F837" s="30" t="n">
        <v>-6021</v>
      </c>
      <c r="G837" s="35" t="n">
        <v>-0.122564885496183</v>
      </c>
    </row>
    <row r="838" customFormat="false" ht="15" hidden="false" customHeight="false" outlineLevel="0" collapsed="false">
      <c r="A838" s="25" t="s">
        <v>1125</v>
      </c>
      <c r="B838" s="25" t="s">
        <v>1126</v>
      </c>
      <c r="C838" s="29" t="s">
        <v>290</v>
      </c>
      <c r="D838" s="29" t="n">
        <v>4</v>
      </c>
      <c r="E838" s="31" t="n">
        <v>48964</v>
      </c>
      <c r="F838" s="31" t="n">
        <v>7344</v>
      </c>
      <c r="G838" s="37" t="n">
        <v>0.149987746099175</v>
      </c>
    </row>
    <row r="839" customFormat="false" ht="15" hidden="false" customHeight="false" outlineLevel="0" collapsed="false">
      <c r="A839" s="20" t="s">
        <v>1127</v>
      </c>
      <c r="B839" s="20" t="s">
        <v>194</v>
      </c>
      <c r="C839" s="9" t="s">
        <v>195</v>
      </c>
      <c r="D839" s="9" t="n">
        <v>1</v>
      </c>
      <c r="E839" s="30" t="n">
        <v>48938</v>
      </c>
      <c r="F839" s="30" t="n">
        <v>20491</v>
      </c>
      <c r="G839" s="35" t="n">
        <v>0.418713474191835</v>
      </c>
    </row>
    <row r="840" customFormat="false" ht="15" hidden="false" customHeight="false" outlineLevel="0" collapsed="false">
      <c r="A840" s="25" t="s">
        <v>1128</v>
      </c>
      <c r="B840" s="29" t="s">
        <v>253</v>
      </c>
      <c r="C840" s="29" t="s">
        <v>254</v>
      </c>
      <c r="D840" s="29" t="n">
        <v>30</v>
      </c>
      <c r="E840" s="31" t="n">
        <v>48870</v>
      </c>
      <c r="F840" s="31" t="n">
        <v>24870</v>
      </c>
      <c r="G840" s="37" t="n">
        <v>0.50890116635973</v>
      </c>
    </row>
    <row r="841" customFormat="false" ht="15" hidden="false" customHeight="false" outlineLevel="0" collapsed="false">
      <c r="A841" s="20" t="s">
        <v>1129</v>
      </c>
      <c r="B841" s="20" t="s">
        <v>200</v>
      </c>
      <c r="C841" s="9" t="s">
        <v>223</v>
      </c>
      <c r="D841" s="9" t="n">
        <v>62</v>
      </c>
      <c r="E841" s="30" t="n">
        <v>48670</v>
      </c>
      <c r="F841" s="30" t="n">
        <v>35650</v>
      </c>
      <c r="G841" s="35" t="n">
        <v>0.732484076433121</v>
      </c>
    </row>
    <row r="842" customFormat="false" ht="15" hidden="false" customHeight="false" outlineLevel="0" collapsed="false">
      <c r="A842" s="25" t="s">
        <v>1130</v>
      </c>
      <c r="B842" s="25" t="s">
        <v>194</v>
      </c>
      <c r="C842" s="29" t="s">
        <v>430</v>
      </c>
      <c r="D842" s="29" t="n">
        <v>3</v>
      </c>
      <c r="E842" s="31" t="n">
        <v>48618</v>
      </c>
      <c r="F842" s="31" t="n">
        <v>29205</v>
      </c>
      <c r="G842" s="37" t="n">
        <v>0.600703443169197</v>
      </c>
    </row>
    <row r="843" customFormat="false" ht="15" hidden="false" customHeight="false" outlineLevel="0" collapsed="false">
      <c r="A843" s="20" t="s">
        <v>1131</v>
      </c>
      <c r="B843" s="20" t="s">
        <v>194</v>
      </c>
      <c r="C843" s="9" t="s">
        <v>231</v>
      </c>
      <c r="D843" s="9" t="n">
        <v>1</v>
      </c>
      <c r="E843" s="30" t="n">
        <v>48410</v>
      </c>
      <c r="F843" s="30" t="n">
        <v>34536</v>
      </c>
      <c r="G843" s="35" t="n">
        <v>0.713406321008056</v>
      </c>
    </row>
    <row r="844" customFormat="false" ht="15" hidden="false" customHeight="false" outlineLevel="0" collapsed="false">
      <c r="A844" s="25" t="s">
        <v>1132</v>
      </c>
      <c r="B844" s="29" t="s">
        <v>253</v>
      </c>
      <c r="C844" s="29" t="s">
        <v>254</v>
      </c>
      <c r="D844" s="29" t="n">
        <v>5</v>
      </c>
      <c r="E844" s="31" t="n">
        <v>48330</v>
      </c>
      <c r="F844" s="31" t="n">
        <v>45905</v>
      </c>
      <c r="G844" s="37" t="n">
        <v>0.949824125801779</v>
      </c>
    </row>
    <row r="845" customFormat="false" ht="15" hidden="false" customHeight="false" outlineLevel="0" collapsed="false">
      <c r="A845" s="20" t="s">
        <v>1133</v>
      </c>
      <c r="B845" s="20" t="s">
        <v>1134</v>
      </c>
      <c r="C845" s="9" t="s">
        <v>334</v>
      </c>
      <c r="D845" s="9" t="n">
        <v>14</v>
      </c>
      <c r="E845" s="30" t="n">
        <v>48146</v>
      </c>
      <c r="F845" s="30" t="n">
        <v>7222</v>
      </c>
      <c r="G845" s="35" t="n">
        <v>0.150002077015744</v>
      </c>
    </row>
    <row r="846" customFormat="false" ht="15" hidden="false" customHeight="false" outlineLevel="0" collapsed="false">
      <c r="A846" s="25" t="s">
        <v>1135</v>
      </c>
      <c r="B846" s="29" t="s">
        <v>216</v>
      </c>
      <c r="C846" s="29" t="s">
        <v>428</v>
      </c>
      <c r="D846" s="29" t="n">
        <v>11</v>
      </c>
      <c r="E846" s="31" t="n">
        <v>48136</v>
      </c>
      <c r="F846" s="31" t="n">
        <v>33946</v>
      </c>
      <c r="G846" s="37" t="n">
        <v>0.705210237659964</v>
      </c>
    </row>
    <row r="847" customFormat="false" ht="15" hidden="false" customHeight="false" outlineLevel="0" collapsed="false">
      <c r="A847" s="20" t="s">
        <v>1136</v>
      </c>
      <c r="B847" s="20" t="s">
        <v>240</v>
      </c>
      <c r="C847" s="9" t="s">
        <v>391</v>
      </c>
      <c r="D847" s="9" t="n">
        <v>4</v>
      </c>
      <c r="E847" s="30" t="n">
        <v>48088</v>
      </c>
      <c r="F847" s="30" t="n">
        <v>12804</v>
      </c>
      <c r="G847" s="35" t="n">
        <v>0.266261853269007</v>
      </c>
    </row>
    <row r="848" customFormat="false" ht="15" hidden="false" customHeight="false" outlineLevel="0" collapsed="false">
      <c r="A848" s="25" t="s">
        <v>1137</v>
      </c>
      <c r="B848" s="25" t="s">
        <v>194</v>
      </c>
      <c r="C848" s="29" t="s">
        <v>223</v>
      </c>
      <c r="D848" s="29" t="n">
        <v>6</v>
      </c>
      <c r="E848" s="31" t="n">
        <v>47994</v>
      </c>
      <c r="F848" s="31" t="n">
        <v>11088</v>
      </c>
      <c r="G848" s="37" t="n">
        <v>0.231028878609826</v>
      </c>
    </row>
    <row r="849" customFormat="false" ht="15" hidden="false" customHeight="false" outlineLevel="0" collapsed="false">
      <c r="A849" s="20" t="s">
        <v>1138</v>
      </c>
      <c r="B849" s="20" t="s">
        <v>194</v>
      </c>
      <c r="C849" s="9" t="s">
        <v>231</v>
      </c>
      <c r="D849" s="9" t="n">
        <v>8</v>
      </c>
      <c r="E849" s="30" t="n">
        <v>47812</v>
      </c>
      <c r="F849" s="30" t="n">
        <v>24572</v>
      </c>
      <c r="G849" s="35" t="n">
        <v>0.51392955743328</v>
      </c>
    </row>
    <row r="850" customFormat="false" ht="15" hidden="false" customHeight="false" outlineLevel="0" collapsed="false">
      <c r="A850" s="25" t="s">
        <v>1139</v>
      </c>
      <c r="B850" s="25" t="s">
        <v>194</v>
      </c>
      <c r="C850" s="29" t="s">
        <v>203</v>
      </c>
      <c r="D850" s="29" t="n">
        <v>1</v>
      </c>
      <c r="E850" s="31" t="n">
        <v>47805</v>
      </c>
      <c r="F850" s="31" t="n">
        <v>13561</v>
      </c>
      <c r="G850" s="37" t="n">
        <v>0.283673255935572</v>
      </c>
    </row>
    <row r="851" customFormat="false" ht="15" hidden="false" customHeight="false" outlineLevel="0" collapsed="false">
      <c r="A851" s="20" t="s">
        <v>1140</v>
      </c>
      <c r="B851" s="20" t="s">
        <v>194</v>
      </c>
      <c r="C851" s="9" t="s">
        <v>203</v>
      </c>
      <c r="D851" s="9" t="n">
        <v>10</v>
      </c>
      <c r="E851" s="30" t="n">
        <v>47770</v>
      </c>
      <c r="F851" s="30" t="n">
        <v>33100</v>
      </c>
      <c r="G851" s="35" t="n">
        <v>0.69290349591794</v>
      </c>
    </row>
    <row r="852" customFormat="false" ht="15" hidden="false" customHeight="false" outlineLevel="0" collapsed="false">
      <c r="A852" s="25" t="s">
        <v>1141</v>
      </c>
      <c r="B852" s="25" t="s">
        <v>194</v>
      </c>
      <c r="C852" s="29" t="s">
        <v>334</v>
      </c>
      <c r="D852" s="29" t="n">
        <v>4</v>
      </c>
      <c r="E852" s="31" t="n">
        <v>47716</v>
      </c>
      <c r="F852" s="31" t="n">
        <v>9544</v>
      </c>
      <c r="G852" s="37" t="n">
        <v>0.200016765864699</v>
      </c>
    </row>
    <row r="853" customFormat="false" ht="15" hidden="false" customHeight="false" outlineLevel="0" collapsed="false">
      <c r="A853" s="20" t="s">
        <v>1142</v>
      </c>
      <c r="B853" s="9" t="s">
        <v>253</v>
      </c>
      <c r="C853" s="9" t="s">
        <v>428</v>
      </c>
      <c r="D853" s="9" t="n">
        <v>2</v>
      </c>
      <c r="E853" s="30" t="n">
        <v>47676</v>
      </c>
      <c r="F853" s="30" t="n">
        <v>13966</v>
      </c>
      <c r="G853" s="35" t="n">
        <v>0.292935648963839</v>
      </c>
    </row>
    <row r="854" customFormat="false" ht="15" hidden="false" customHeight="false" outlineLevel="0" collapsed="false">
      <c r="A854" s="25" t="s">
        <v>1143</v>
      </c>
      <c r="B854" s="25" t="s">
        <v>200</v>
      </c>
      <c r="C854" s="29" t="s">
        <v>223</v>
      </c>
      <c r="D854" s="29" t="n">
        <v>2</v>
      </c>
      <c r="E854" s="31" t="n">
        <v>47666</v>
      </c>
      <c r="F854" s="31" t="n">
        <v>13106</v>
      </c>
      <c r="G854" s="37" t="n">
        <v>0.274954894474049</v>
      </c>
    </row>
    <row r="855" customFormat="false" ht="15" hidden="false" customHeight="false" outlineLevel="0" collapsed="false">
      <c r="A855" s="20" t="s">
        <v>1144</v>
      </c>
      <c r="B855" s="20" t="s">
        <v>194</v>
      </c>
      <c r="C855" s="9" t="s">
        <v>203</v>
      </c>
      <c r="D855" s="9" t="n">
        <v>76</v>
      </c>
      <c r="E855" s="30" t="n">
        <v>47652</v>
      </c>
      <c r="F855" s="30" t="n">
        <v>10716</v>
      </c>
      <c r="G855" s="35" t="n">
        <v>0.22488038277512</v>
      </c>
    </row>
    <row r="856" customFormat="false" ht="15" hidden="false" customHeight="false" outlineLevel="0" collapsed="false">
      <c r="A856" s="25" t="s">
        <v>1145</v>
      </c>
      <c r="B856" s="29" t="s">
        <v>1146</v>
      </c>
      <c r="C856" s="29" t="s">
        <v>290</v>
      </c>
      <c r="D856" s="29" t="n">
        <v>20</v>
      </c>
      <c r="E856" s="31" t="n">
        <v>47600</v>
      </c>
      <c r="F856" s="31" t="n">
        <v>7140</v>
      </c>
      <c r="G856" s="37" t="n">
        <v>0.15</v>
      </c>
    </row>
    <row r="857" customFormat="false" ht="15" hidden="false" customHeight="false" outlineLevel="0" collapsed="false">
      <c r="A857" s="20" t="s">
        <v>1147</v>
      </c>
      <c r="B857" s="9" t="s">
        <v>253</v>
      </c>
      <c r="C857" s="9" t="s">
        <v>254</v>
      </c>
      <c r="D857" s="9" t="n">
        <v>40</v>
      </c>
      <c r="E857" s="30" t="n">
        <v>47320</v>
      </c>
      <c r="F857" s="30" t="n">
        <v>24920</v>
      </c>
      <c r="G857" s="35" t="n">
        <v>0.526627218934911</v>
      </c>
    </row>
    <row r="858" customFormat="false" ht="15" hidden="false" customHeight="false" outlineLevel="0" collapsed="false">
      <c r="A858" s="25" t="s">
        <v>1148</v>
      </c>
      <c r="B858" s="25" t="s">
        <v>194</v>
      </c>
      <c r="C858" s="29" t="s">
        <v>197</v>
      </c>
      <c r="D858" s="29" t="n">
        <v>6</v>
      </c>
      <c r="E858" s="31" t="n">
        <v>47136</v>
      </c>
      <c r="F858" s="31" t="n">
        <v>21888</v>
      </c>
      <c r="G858" s="37" t="n">
        <v>0.464358452138493</v>
      </c>
    </row>
    <row r="859" customFormat="false" ht="15" hidden="false" customHeight="false" outlineLevel="0" collapsed="false">
      <c r="A859" s="20" t="s">
        <v>1149</v>
      </c>
      <c r="B859" s="20" t="s">
        <v>194</v>
      </c>
      <c r="C859" s="9" t="s">
        <v>355</v>
      </c>
      <c r="D859" s="9" t="n">
        <v>2</v>
      </c>
      <c r="E859" s="30" t="n">
        <v>47128</v>
      </c>
      <c r="F859" s="30" t="n">
        <v>-1624</v>
      </c>
      <c r="G859" s="35" t="n">
        <v>-0.0344593447631981</v>
      </c>
    </row>
    <row r="860" customFormat="false" ht="15" hidden="false" customHeight="false" outlineLevel="0" collapsed="false">
      <c r="A860" s="25" t="s">
        <v>1150</v>
      </c>
      <c r="B860" s="25" t="s">
        <v>194</v>
      </c>
      <c r="C860" s="29" t="s">
        <v>391</v>
      </c>
      <c r="D860" s="29" t="n">
        <v>4</v>
      </c>
      <c r="E860" s="31" t="n">
        <v>47048</v>
      </c>
      <c r="F860" s="31" t="n">
        <v>12680</v>
      </c>
      <c r="G860" s="37" t="n">
        <v>0.269511987757184</v>
      </c>
    </row>
    <row r="861" customFormat="false" ht="15" hidden="false" customHeight="false" outlineLevel="0" collapsed="false">
      <c r="A861" s="20" t="s">
        <v>1151</v>
      </c>
      <c r="B861" s="20" t="s">
        <v>194</v>
      </c>
      <c r="C861" s="9" t="s">
        <v>209</v>
      </c>
      <c r="D861" s="9" t="n">
        <v>1</v>
      </c>
      <c r="E861" s="30" t="n">
        <v>47029</v>
      </c>
      <c r="F861" s="30" t="n">
        <v>15356</v>
      </c>
      <c r="G861" s="35" t="n">
        <v>0.326521933275213</v>
      </c>
    </row>
    <row r="862" customFormat="false" ht="15" hidden="false" customHeight="false" outlineLevel="0" collapsed="false">
      <c r="A862" s="25" t="s">
        <v>1152</v>
      </c>
      <c r="B862" s="25" t="s">
        <v>240</v>
      </c>
      <c r="C862" s="29" t="s">
        <v>790</v>
      </c>
      <c r="D862" s="29" t="n">
        <v>5</v>
      </c>
      <c r="E862" s="31" t="n">
        <v>47015</v>
      </c>
      <c r="F862" s="31" t="n">
        <v>18160</v>
      </c>
      <c r="G862" s="37" t="n">
        <v>0.386259704349676</v>
      </c>
    </row>
    <row r="863" customFormat="false" ht="15" hidden="false" customHeight="false" outlineLevel="0" collapsed="false">
      <c r="A863" s="20" t="s">
        <v>1153</v>
      </c>
      <c r="B863" s="20" t="s">
        <v>194</v>
      </c>
      <c r="C863" s="9" t="s">
        <v>231</v>
      </c>
      <c r="D863" s="9" t="n">
        <v>39</v>
      </c>
      <c r="E863" s="30" t="n">
        <v>46518</v>
      </c>
      <c r="F863" s="30" t="n">
        <v>38718</v>
      </c>
      <c r="G863" s="35" t="n">
        <v>0.83232297175287</v>
      </c>
    </row>
    <row r="864" customFormat="false" ht="15" hidden="false" customHeight="false" outlineLevel="0" collapsed="false">
      <c r="A864" s="25" t="s">
        <v>1154</v>
      </c>
      <c r="B864" s="29" t="s">
        <v>253</v>
      </c>
      <c r="C864" s="29" t="s">
        <v>254</v>
      </c>
      <c r="D864" s="29" t="n">
        <v>38</v>
      </c>
      <c r="E864" s="31" t="n">
        <v>46512</v>
      </c>
      <c r="F864" s="31" t="n">
        <v>24396</v>
      </c>
      <c r="G864" s="37" t="n">
        <v>0.524509803921569</v>
      </c>
    </row>
    <row r="865" customFormat="false" ht="15" hidden="false" customHeight="false" outlineLevel="0" collapsed="false">
      <c r="A865" s="20" t="s">
        <v>1155</v>
      </c>
      <c r="B865" s="20" t="s">
        <v>194</v>
      </c>
      <c r="C865" s="9" t="s">
        <v>195</v>
      </c>
      <c r="D865" s="9" t="n">
        <v>12</v>
      </c>
      <c r="E865" s="30" t="n">
        <v>46440</v>
      </c>
      <c r="F865" s="30" t="n">
        <v>15900</v>
      </c>
      <c r="G865" s="35" t="n">
        <v>0.342377260981912</v>
      </c>
    </row>
    <row r="866" customFormat="false" ht="15" hidden="false" customHeight="false" outlineLevel="0" collapsed="false">
      <c r="A866" s="25" t="s">
        <v>1156</v>
      </c>
      <c r="B866" s="25" t="s">
        <v>194</v>
      </c>
      <c r="C866" s="29" t="s">
        <v>334</v>
      </c>
      <c r="D866" s="29" t="n">
        <v>16</v>
      </c>
      <c r="E866" s="31" t="n">
        <v>45872</v>
      </c>
      <c r="F866" s="31" t="n">
        <v>6881</v>
      </c>
      <c r="G866" s="37" t="n">
        <v>0.150004359958144</v>
      </c>
    </row>
    <row r="867" customFormat="false" ht="15" hidden="false" customHeight="false" outlineLevel="0" collapsed="false">
      <c r="A867" s="20" t="s">
        <v>1157</v>
      </c>
      <c r="B867" s="9" t="s">
        <v>253</v>
      </c>
      <c r="C867" s="9" t="s">
        <v>254</v>
      </c>
      <c r="D867" s="9" t="n">
        <v>10</v>
      </c>
      <c r="E867" s="30" t="n">
        <v>45860</v>
      </c>
      <c r="F867" s="30" t="n">
        <v>43700</v>
      </c>
      <c r="G867" s="35" t="n">
        <v>0.95290013083297</v>
      </c>
    </row>
    <row r="868" customFormat="false" ht="15" hidden="false" customHeight="false" outlineLevel="0" collapsed="false">
      <c r="A868" s="25" t="s">
        <v>1158</v>
      </c>
      <c r="B868" s="25" t="s">
        <v>194</v>
      </c>
      <c r="C868" s="29" t="s">
        <v>206</v>
      </c>
      <c r="D868" s="29" t="n">
        <v>25</v>
      </c>
      <c r="E868" s="31" t="n">
        <v>45825</v>
      </c>
      <c r="F868" s="31" t="n">
        <v>8875</v>
      </c>
      <c r="G868" s="37" t="n">
        <v>0.1936715766503</v>
      </c>
    </row>
    <row r="869" customFormat="false" ht="15" hidden="false" customHeight="false" outlineLevel="0" collapsed="false">
      <c r="A869" s="20" t="s">
        <v>1159</v>
      </c>
      <c r="B869" s="20" t="s">
        <v>194</v>
      </c>
      <c r="C869" s="9" t="s">
        <v>203</v>
      </c>
      <c r="D869" s="9" t="n">
        <v>90</v>
      </c>
      <c r="E869" s="30" t="n">
        <v>45810</v>
      </c>
      <c r="F869" s="30" t="n">
        <v>24030</v>
      </c>
      <c r="G869" s="35" t="n">
        <v>0.524557956777996</v>
      </c>
    </row>
    <row r="870" customFormat="false" ht="15" hidden="false" customHeight="false" outlineLevel="0" collapsed="false">
      <c r="A870" s="25" t="s">
        <v>1160</v>
      </c>
      <c r="B870" s="25" t="s">
        <v>194</v>
      </c>
      <c r="C870" s="29" t="s">
        <v>206</v>
      </c>
      <c r="D870" s="29" t="n">
        <v>40</v>
      </c>
      <c r="E870" s="31" t="n">
        <v>45800</v>
      </c>
      <c r="F870" s="31" t="n">
        <v>-1160</v>
      </c>
      <c r="G870" s="37" t="n">
        <v>-0.0253275109170305</v>
      </c>
    </row>
    <row r="871" customFormat="false" ht="15" hidden="false" customHeight="false" outlineLevel="0" collapsed="false">
      <c r="A871" s="20" t="s">
        <v>1161</v>
      </c>
      <c r="B871" s="20" t="s">
        <v>200</v>
      </c>
      <c r="C871" s="9" t="s">
        <v>223</v>
      </c>
      <c r="D871" s="9" t="n">
        <v>5</v>
      </c>
      <c r="E871" s="30" t="n">
        <v>45790</v>
      </c>
      <c r="F871" s="30" t="n">
        <v>7365</v>
      </c>
      <c r="G871" s="35" t="n">
        <v>0.160842978816335</v>
      </c>
    </row>
    <row r="872" customFormat="false" ht="15" hidden="false" customHeight="false" outlineLevel="0" collapsed="false">
      <c r="A872" s="25" t="s">
        <v>1162</v>
      </c>
      <c r="B872" s="25" t="s">
        <v>194</v>
      </c>
      <c r="C872" s="29" t="s">
        <v>485</v>
      </c>
      <c r="D872" s="29" t="n">
        <v>2</v>
      </c>
      <c r="E872" s="31" t="n">
        <v>45736</v>
      </c>
      <c r="F872" s="31" t="n">
        <v>14980</v>
      </c>
      <c r="G872" s="37" t="n">
        <v>0.32753192233689</v>
      </c>
    </row>
    <row r="873" customFormat="false" ht="15" hidden="false" customHeight="false" outlineLevel="0" collapsed="false">
      <c r="A873" s="20" t="s">
        <v>1163</v>
      </c>
      <c r="B873" s="20" t="s">
        <v>194</v>
      </c>
      <c r="C873" s="9" t="s">
        <v>206</v>
      </c>
      <c r="D873" s="9" t="n">
        <v>317</v>
      </c>
      <c r="E873" s="30" t="n">
        <v>45648</v>
      </c>
      <c r="F873" s="30" t="n">
        <v>1268</v>
      </c>
      <c r="G873" s="35" t="n">
        <v>0.0277777777777777</v>
      </c>
    </row>
    <row r="874" customFormat="false" ht="15" hidden="false" customHeight="false" outlineLevel="0" collapsed="false">
      <c r="A874" s="25" t="s">
        <v>1164</v>
      </c>
      <c r="B874" s="25" t="s">
        <v>194</v>
      </c>
      <c r="C874" s="29" t="s">
        <v>203</v>
      </c>
      <c r="D874" s="29" t="n">
        <v>61</v>
      </c>
      <c r="E874" s="31" t="n">
        <v>45445</v>
      </c>
      <c r="F874" s="31" t="n">
        <v>33245</v>
      </c>
      <c r="G874" s="37" t="n">
        <v>0.731543624161074</v>
      </c>
    </row>
    <row r="875" customFormat="false" ht="15" hidden="false" customHeight="false" outlineLevel="0" collapsed="false">
      <c r="A875" s="20" t="s">
        <v>1165</v>
      </c>
      <c r="B875" s="20" t="s">
        <v>200</v>
      </c>
      <c r="C875" s="9" t="s">
        <v>223</v>
      </c>
      <c r="D875" s="9" t="n">
        <v>41</v>
      </c>
      <c r="E875" s="30" t="n">
        <v>44731</v>
      </c>
      <c r="F875" s="30" t="n">
        <v>34481</v>
      </c>
      <c r="G875" s="35" t="n">
        <v>0.770852428964253</v>
      </c>
    </row>
    <row r="876" customFormat="false" ht="15" hidden="false" customHeight="false" outlineLevel="0" collapsed="false">
      <c r="A876" s="25" t="s">
        <v>1166</v>
      </c>
      <c r="B876" s="25" t="s">
        <v>194</v>
      </c>
      <c r="C876" s="29" t="s">
        <v>203</v>
      </c>
      <c r="D876" s="29" t="n">
        <v>22</v>
      </c>
      <c r="E876" s="31" t="n">
        <v>44616</v>
      </c>
      <c r="F876" s="31" t="n">
        <v>20438</v>
      </c>
      <c r="G876" s="37" t="n">
        <v>0.458086785009862</v>
      </c>
    </row>
    <row r="877" customFormat="false" ht="15" hidden="false" customHeight="false" outlineLevel="0" collapsed="false">
      <c r="A877" s="20" t="s">
        <v>1167</v>
      </c>
      <c r="B877" s="20" t="s">
        <v>332</v>
      </c>
      <c r="C877" s="9" t="s">
        <v>217</v>
      </c>
      <c r="D877" s="9" t="n">
        <v>1</v>
      </c>
      <c r="E877" s="30" t="n">
        <v>44573</v>
      </c>
      <c r="F877" s="30" t="n">
        <v>13366</v>
      </c>
      <c r="G877" s="35" t="n">
        <v>0.299867632871918</v>
      </c>
    </row>
    <row r="878" customFormat="false" ht="15" hidden="false" customHeight="false" outlineLevel="0" collapsed="false">
      <c r="A878" s="25" t="s">
        <v>1168</v>
      </c>
      <c r="B878" s="25" t="s">
        <v>240</v>
      </c>
      <c r="C878" s="29" t="s">
        <v>439</v>
      </c>
      <c r="D878" s="29" t="n">
        <v>5</v>
      </c>
      <c r="E878" s="31" t="n">
        <v>44515</v>
      </c>
      <c r="F878" s="31" t="n">
        <v>14775</v>
      </c>
      <c r="G878" s="37" t="n">
        <v>0.331910591935303</v>
      </c>
    </row>
    <row r="879" customFormat="false" ht="15" hidden="false" customHeight="false" outlineLevel="0" collapsed="false">
      <c r="A879" s="20" t="s">
        <v>1169</v>
      </c>
      <c r="B879" s="20" t="s">
        <v>194</v>
      </c>
      <c r="C879" s="9" t="s">
        <v>195</v>
      </c>
      <c r="D879" s="9" t="n">
        <v>5</v>
      </c>
      <c r="E879" s="30" t="n">
        <v>44455</v>
      </c>
      <c r="F879" s="30" t="n">
        <v>17175</v>
      </c>
      <c r="G879" s="35" t="n">
        <v>0.386345742886065</v>
      </c>
    </row>
    <row r="880" customFormat="false" ht="15" hidden="false" customHeight="false" outlineLevel="0" collapsed="false">
      <c r="A880" s="25" t="s">
        <v>1170</v>
      </c>
      <c r="B880" s="29" t="s">
        <v>281</v>
      </c>
      <c r="C880" s="29" t="s">
        <v>197</v>
      </c>
      <c r="D880" s="29" t="n">
        <v>15</v>
      </c>
      <c r="E880" s="31" t="n">
        <v>44385</v>
      </c>
      <c r="F880" s="31" t="n">
        <v>19860</v>
      </c>
      <c r="G880" s="37" t="n">
        <v>0.447448462318351</v>
      </c>
    </row>
    <row r="881" customFormat="false" ht="15" hidden="false" customHeight="false" outlineLevel="0" collapsed="false">
      <c r="A881" s="20" t="s">
        <v>1171</v>
      </c>
      <c r="B881" s="20" t="s">
        <v>194</v>
      </c>
      <c r="C881" s="9" t="s">
        <v>195</v>
      </c>
      <c r="D881" s="9" t="n">
        <v>5</v>
      </c>
      <c r="E881" s="30" t="n">
        <v>44320</v>
      </c>
      <c r="F881" s="30" t="n">
        <v>13785</v>
      </c>
      <c r="G881" s="35" t="n">
        <v>0.311033393501805</v>
      </c>
    </row>
    <row r="882" customFormat="false" ht="15" hidden="false" customHeight="false" outlineLevel="0" collapsed="false">
      <c r="A882" s="25" t="s">
        <v>1172</v>
      </c>
      <c r="B882" s="29" t="s">
        <v>253</v>
      </c>
      <c r="C882" s="29" t="s">
        <v>428</v>
      </c>
      <c r="D882" s="29" t="n">
        <v>2</v>
      </c>
      <c r="E882" s="31" t="n">
        <v>44276</v>
      </c>
      <c r="F882" s="31" t="n">
        <v>20368</v>
      </c>
      <c r="G882" s="37" t="n">
        <v>0.460023489023399</v>
      </c>
    </row>
    <row r="883" customFormat="false" ht="15" hidden="false" customHeight="false" outlineLevel="0" collapsed="false">
      <c r="A883" s="20" t="s">
        <v>1173</v>
      </c>
      <c r="B883" s="20" t="s">
        <v>194</v>
      </c>
      <c r="C883" s="9" t="s">
        <v>203</v>
      </c>
      <c r="D883" s="9" t="n">
        <v>26</v>
      </c>
      <c r="E883" s="30" t="n">
        <v>44242</v>
      </c>
      <c r="F883" s="30" t="n">
        <v>36988</v>
      </c>
      <c r="G883" s="35" t="n">
        <v>0.836038153790516</v>
      </c>
    </row>
    <row r="884" customFormat="false" ht="15" hidden="false" customHeight="false" outlineLevel="0" collapsed="false">
      <c r="A884" s="25" t="s">
        <v>1174</v>
      </c>
      <c r="B884" s="29"/>
      <c r="C884" s="29" t="s">
        <v>428</v>
      </c>
      <c r="D884" s="29" t="n">
        <v>62</v>
      </c>
      <c r="E884" s="31" t="n">
        <v>44206</v>
      </c>
      <c r="F884" s="31" t="n">
        <v>19716</v>
      </c>
      <c r="G884" s="37" t="n">
        <v>0.446002805049088</v>
      </c>
    </row>
    <row r="885" customFormat="false" ht="15" hidden="false" customHeight="false" outlineLevel="0" collapsed="false">
      <c r="A885" s="20" t="s">
        <v>1175</v>
      </c>
      <c r="B885" s="20" t="s">
        <v>308</v>
      </c>
      <c r="C885" s="9" t="s">
        <v>368</v>
      </c>
      <c r="D885" s="9" t="n">
        <v>22</v>
      </c>
      <c r="E885" s="30" t="n">
        <v>44044</v>
      </c>
      <c r="F885" s="30" t="n">
        <v>15752</v>
      </c>
      <c r="G885" s="35" t="n">
        <v>0.357642357642358</v>
      </c>
    </row>
    <row r="886" customFormat="false" ht="15" hidden="false" customHeight="false" outlineLevel="0" collapsed="false">
      <c r="A886" s="25" t="s">
        <v>1176</v>
      </c>
      <c r="B886" s="25" t="s">
        <v>194</v>
      </c>
      <c r="C886" s="29" t="s">
        <v>195</v>
      </c>
      <c r="D886" s="29" t="n">
        <v>1</v>
      </c>
      <c r="E886" s="31" t="n">
        <v>44011</v>
      </c>
      <c r="F886" s="31" t="n">
        <v>27140</v>
      </c>
      <c r="G886" s="37" t="n">
        <v>0.616664015814228</v>
      </c>
    </row>
    <row r="887" customFormat="false" ht="15" hidden="false" customHeight="false" outlineLevel="0" collapsed="false">
      <c r="A887" s="20" t="s">
        <v>1177</v>
      </c>
      <c r="B887" s="20" t="s">
        <v>194</v>
      </c>
      <c r="C887" s="9" t="s">
        <v>197</v>
      </c>
      <c r="D887" s="9" t="n">
        <v>69</v>
      </c>
      <c r="E887" s="30" t="n">
        <v>43746</v>
      </c>
      <c r="F887" s="30" t="n">
        <v>18561</v>
      </c>
      <c r="G887" s="35" t="n">
        <v>0.424290220820189</v>
      </c>
    </row>
    <row r="888" customFormat="false" ht="15" hidden="false" customHeight="false" outlineLevel="0" collapsed="false">
      <c r="A888" s="25" t="s">
        <v>1178</v>
      </c>
      <c r="B888" s="25" t="s">
        <v>194</v>
      </c>
      <c r="C888" s="29" t="s">
        <v>206</v>
      </c>
      <c r="D888" s="29" t="n">
        <v>59</v>
      </c>
      <c r="E888" s="31" t="n">
        <v>43601</v>
      </c>
      <c r="F888" s="31" t="n">
        <v>-2124</v>
      </c>
      <c r="G888" s="37" t="n">
        <v>-0.0487144790257104</v>
      </c>
    </row>
    <row r="889" customFormat="false" ht="15" hidden="false" customHeight="false" outlineLevel="0" collapsed="false">
      <c r="A889" s="20" t="s">
        <v>1179</v>
      </c>
      <c r="B889" s="20" t="s">
        <v>240</v>
      </c>
      <c r="C889" s="9" t="s">
        <v>1020</v>
      </c>
      <c r="D889" s="9" t="n">
        <v>11</v>
      </c>
      <c r="E889" s="30" t="n">
        <v>43593</v>
      </c>
      <c r="F889" s="30" t="n">
        <v>14630</v>
      </c>
      <c r="G889" s="35" t="n">
        <v>0.335604340146354</v>
      </c>
    </row>
    <row r="890" customFormat="false" ht="15" hidden="false" customHeight="false" outlineLevel="0" collapsed="false">
      <c r="A890" s="25" t="s">
        <v>1180</v>
      </c>
      <c r="B890" s="29" t="s">
        <v>216</v>
      </c>
      <c r="C890" s="29" t="s">
        <v>428</v>
      </c>
      <c r="D890" s="29" t="n">
        <v>49</v>
      </c>
      <c r="E890" s="31" t="n">
        <v>43512</v>
      </c>
      <c r="F890" s="31" t="n">
        <v>2744</v>
      </c>
      <c r="G890" s="37" t="n">
        <v>0.063063063063063</v>
      </c>
    </row>
    <row r="891" customFormat="false" ht="15" hidden="false" customHeight="false" outlineLevel="0" collapsed="false">
      <c r="A891" s="20" t="s">
        <v>1181</v>
      </c>
      <c r="B891" s="20" t="s">
        <v>194</v>
      </c>
      <c r="C891" s="9" t="s">
        <v>236</v>
      </c>
      <c r="D891" s="9" t="n">
        <v>300</v>
      </c>
      <c r="E891" s="30" t="n">
        <v>43500</v>
      </c>
      <c r="F891" s="30" t="n">
        <v>37500</v>
      </c>
      <c r="G891" s="35" t="n">
        <v>0.862068965517241</v>
      </c>
    </row>
    <row r="892" customFormat="false" ht="15" hidden="false" customHeight="false" outlineLevel="0" collapsed="false">
      <c r="A892" s="25" t="s">
        <v>1182</v>
      </c>
      <c r="B892" s="25" t="s">
        <v>240</v>
      </c>
      <c r="C892" s="29" t="s">
        <v>1183</v>
      </c>
      <c r="D892" s="29" t="n">
        <v>1</v>
      </c>
      <c r="E892" s="31" t="n">
        <v>43283</v>
      </c>
      <c r="F892" s="31" t="n">
        <v>9898</v>
      </c>
      <c r="G892" s="37" t="n">
        <v>0.228681006399741</v>
      </c>
    </row>
    <row r="893" customFormat="false" ht="15" hidden="false" customHeight="false" outlineLevel="0" collapsed="false">
      <c r="A893" s="20" t="s">
        <v>1184</v>
      </c>
      <c r="B893" s="20" t="s">
        <v>194</v>
      </c>
      <c r="C893" s="9" t="s">
        <v>485</v>
      </c>
      <c r="D893" s="9" t="n">
        <v>1</v>
      </c>
      <c r="E893" s="30" t="n">
        <v>42953</v>
      </c>
      <c r="F893" s="30" t="n">
        <v>8920</v>
      </c>
      <c r="G893" s="35" t="n">
        <v>0.207668847344772</v>
      </c>
    </row>
    <row r="894" customFormat="false" ht="15" hidden="false" customHeight="false" outlineLevel="0" collapsed="false">
      <c r="A894" s="25" t="s">
        <v>1185</v>
      </c>
      <c r="B894" s="25" t="s">
        <v>194</v>
      </c>
      <c r="C894" s="29" t="s">
        <v>217</v>
      </c>
      <c r="D894" s="29" t="n">
        <v>250</v>
      </c>
      <c r="E894" s="31" t="n">
        <v>42750</v>
      </c>
      <c r="F894" s="31" t="n">
        <v>6411</v>
      </c>
      <c r="G894" s="37" t="n">
        <v>0.149964912280702</v>
      </c>
    </row>
    <row r="895" customFormat="false" ht="15" hidden="false" customHeight="false" outlineLevel="0" collapsed="false">
      <c r="A895" s="20" t="s">
        <v>1186</v>
      </c>
      <c r="B895" s="20" t="s">
        <v>200</v>
      </c>
      <c r="C895" s="9" t="s">
        <v>790</v>
      </c>
      <c r="D895" s="9" t="n">
        <v>3</v>
      </c>
      <c r="E895" s="30" t="n">
        <v>42623</v>
      </c>
      <c r="F895" s="30" t="n">
        <v>31814</v>
      </c>
      <c r="G895" s="35" t="n">
        <v>0.746404523379396</v>
      </c>
    </row>
    <row r="896" customFormat="false" ht="15" hidden="false" customHeight="false" outlineLevel="0" collapsed="false">
      <c r="A896" s="25" t="s">
        <v>1187</v>
      </c>
      <c r="B896" s="25" t="s">
        <v>194</v>
      </c>
      <c r="C896" s="29" t="s">
        <v>790</v>
      </c>
      <c r="D896" s="29" t="n">
        <v>12</v>
      </c>
      <c r="E896" s="31" t="n">
        <v>42528</v>
      </c>
      <c r="F896" s="31" t="n">
        <v>22296</v>
      </c>
      <c r="G896" s="37" t="n">
        <v>0.524266365688488</v>
      </c>
    </row>
    <row r="897" customFormat="false" ht="15" hidden="false" customHeight="false" outlineLevel="0" collapsed="false">
      <c r="A897" s="20" t="s">
        <v>1188</v>
      </c>
      <c r="B897" s="20" t="s">
        <v>194</v>
      </c>
      <c r="C897" s="9" t="s">
        <v>203</v>
      </c>
      <c r="D897" s="9" t="n">
        <v>110</v>
      </c>
      <c r="E897" s="30" t="n">
        <v>42350</v>
      </c>
      <c r="F897" s="30" t="n">
        <v>30360</v>
      </c>
      <c r="G897" s="35" t="n">
        <v>0.716883116883117</v>
      </c>
    </row>
    <row r="898" customFormat="false" ht="15" hidden="false" customHeight="false" outlineLevel="0" collapsed="false">
      <c r="A898" s="25" t="s">
        <v>1189</v>
      </c>
      <c r="B898" s="25" t="s">
        <v>200</v>
      </c>
      <c r="C898" s="29" t="s">
        <v>223</v>
      </c>
      <c r="D898" s="29" t="n">
        <v>1</v>
      </c>
      <c r="E898" s="31" t="n">
        <v>42169</v>
      </c>
      <c r="F898" s="31" t="n">
        <v>13729</v>
      </c>
      <c r="G898" s="37" t="n">
        <v>0.325570917024354</v>
      </c>
    </row>
    <row r="899" customFormat="false" ht="15" hidden="false" customHeight="false" outlineLevel="0" collapsed="false">
      <c r="A899" s="20" t="s">
        <v>1190</v>
      </c>
      <c r="B899" s="9" t="s">
        <v>253</v>
      </c>
      <c r="C899" s="9" t="s">
        <v>254</v>
      </c>
      <c r="D899" s="9" t="n">
        <v>5</v>
      </c>
      <c r="E899" s="30" t="n">
        <v>42150</v>
      </c>
      <c r="F899" s="30" t="n">
        <v>39385</v>
      </c>
      <c r="G899" s="35" t="n">
        <v>0.934400948991696</v>
      </c>
    </row>
    <row r="900" customFormat="false" ht="15" hidden="false" customHeight="false" outlineLevel="0" collapsed="false">
      <c r="A900" s="25" t="s">
        <v>1191</v>
      </c>
      <c r="B900" s="25" t="s">
        <v>194</v>
      </c>
      <c r="C900" s="29" t="s">
        <v>223</v>
      </c>
      <c r="D900" s="29" t="n">
        <v>2</v>
      </c>
      <c r="E900" s="31" t="n">
        <v>42088</v>
      </c>
      <c r="F900" s="31" t="n">
        <v>12904</v>
      </c>
      <c r="G900" s="37" t="n">
        <v>0.306595704238738</v>
      </c>
    </row>
    <row r="901" customFormat="false" ht="15" hidden="false" customHeight="false" outlineLevel="0" collapsed="false">
      <c r="A901" s="20" t="s">
        <v>1192</v>
      </c>
      <c r="B901" s="9" t="s">
        <v>253</v>
      </c>
      <c r="C901" s="9" t="s">
        <v>439</v>
      </c>
      <c r="D901" s="9" t="n">
        <v>3</v>
      </c>
      <c r="E901" s="30" t="n">
        <v>42072</v>
      </c>
      <c r="F901" s="30" t="n">
        <v>15348</v>
      </c>
      <c r="G901" s="35" t="n">
        <v>0.364803194523674</v>
      </c>
    </row>
    <row r="902" customFormat="false" ht="15" hidden="false" customHeight="false" outlineLevel="0" collapsed="false">
      <c r="A902" s="25" t="s">
        <v>1193</v>
      </c>
      <c r="B902" s="29" t="s">
        <v>253</v>
      </c>
      <c r="C902" s="29" t="s">
        <v>254</v>
      </c>
      <c r="D902" s="29" t="n">
        <v>4</v>
      </c>
      <c r="E902" s="31" t="n">
        <v>42060</v>
      </c>
      <c r="F902" s="31" t="n">
        <v>37096</v>
      </c>
      <c r="G902" s="37" t="n">
        <v>0.881978126485972</v>
      </c>
    </row>
    <row r="903" customFormat="false" ht="15" hidden="false" customHeight="false" outlineLevel="0" collapsed="false">
      <c r="A903" s="20" t="s">
        <v>1194</v>
      </c>
      <c r="B903" s="20" t="s">
        <v>194</v>
      </c>
      <c r="C903" s="9" t="s">
        <v>217</v>
      </c>
      <c r="D903" s="9" t="n">
        <v>30</v>
      </c>
      <c r="E903" s="30" t="n">
        <v>42000</v>
      </c>
      <c r="F903" s="30" t="n">
        <v>17190</v>
      </c>
      <c r="G903" s="35" t="n">
        <v>0.409285714285714</v>
      </c>
    </row>
    <row r="904" customFormat="false" ht="15" hidden="false" customHeight="false" outlineLevel="0" collapsed="false">
      <c r="A904" s="25" t="s">
        <v>1195</v>
      </c>
      <c r="B904" s="29" t="s">
        <v>253</v>
      </c>
      <c r="C904" s="29" t="s">
        <v>223</v>
      </c>
      <c r="D904" s="29" t="n">
        <v>34</v>
      </c>
      <c r="E904" s="31" t="n">
        <v>41854</v>
      </c>
      <c r="F904" s="31" t="n">
        <v>8636</v>
      </c>
      <c r="G904" s="37" t="n">
        <v>0.206336311941511</v>
      </c>
    </row>
    <row r="905" customFormat="false" ht="15" hidden="false" customHeight="false" outlineLevel="0" collapsed="false">
      <c r="A905" s="20" t="s">
        <v>1196</v>
      </c>
      <c r="B905" s="20" t="s">
        <v>200</v>
      </c>
      <c r="C905" s="9" t="s">
        <v>297</v>
      </c>
      <c r="D905" s="9" t="n">
        <v>1</v>
      </c>
      <c r="E905" s="30" t="n">
        <v>41842</v>
      </c>
      <c r="F905" s="30" t="n">
        <v>17741</v>
      </c>
      <c r="G905" s="35" t="n">
        <v>0.42399980880455</v>
      </c>
    </row>
    <row r="906" customFormat="false" ht="15" hidden="false" customHeight="false" outlineLevel="0" collapsed="false">
      <c r="A906" s="25" t="s">
        <v>1197</v>
      </c>
      <c r="B906" s="25" t="s">
        <v>194</v>
      </c>
      <c r="C906" s="29" t="s">
        <v>203</v>
      </c>
      <c r="D906" s="29" t="n">
        <v>10</v>
      </c>
      <c r="E906" s="31" t="n">
        <v>41760</v>
      </c>
      <c r="F906" s="31" t="n">
        <v>13870</v>
      </c>
      <c r="G906" s="37" t="n">
        <v>0.332136015325671</v>
      </c>
    </row>
    <row r="907" customFormat="false" ht="15" hidden="false" customHeight="false" outlineLevel="0" collapsed="false">
      <c r="A907" s="20" t="s">
        <v>1198</v>
      </c>
      <c r="B907" s="20" t="s">
        <v>1199</v>
      </c>
      <c r="C907" s="9" t="s">
        <v>334</v>
      </c>
      <c r="D907" s="9" t="n">
        <v>37</v>
      </c>
      <c r="E907" s="30" t="n">
        <v>41625</v>
      </c>
      <c r="F907" s="30" t="n">
        <v>6244</v>
      </c>
      <c r="G907" s="35" t="n">
        <v>0.150006006006006</v>
      </c>
    </row>
    <row r="908" customFormat="false" ht="15" hidden="false" customHeight="false" outlineLevel="0" collapsed="false">
      <c r="A908" s="25" t="s">
        <v>1200</v>
      </c>
      <c r="B908" s="29" t="s">
        <v>216</v>
      </c>
      <c r="C908" s="29" t="s">
        <v>428</v>
      </c>
      <c r="D908" s="29" t="n">
        <v>100</v>
      </c>
      <c r="E908" s="31" t="n">
        <v>41600</v>
      </c>
      <c r="F908" s="31" t="n">
        <v>21000</v>
      </c>
      <c r="G908" s="37" t="n">
        <v>0.504807692307692</v>
      </c>
    </row>
    <row r="909" customFormat="false" ht="15" hidden="false" customHeight="false" outlineLevel="0" collapsed="false">
      <c r="A909" s="20" t="s">
        <v>1201</v>
      </c>
      <c r="B909" s="20" t="s">
        <v>194</v>
      </c>
      <c r="C909" s="9" t="s">
        <v>203</v>
      </c>
      <c r="D909" s="9" t="n">
        <v>9</v>
      </c>
      <c r="E909" s="30" t="n">
        <v>41580</v>
      </c>
      <c r="F909" s="30" t="n">
        <v>6237</v>
      </c>
      <c r="G909" s="35" t="n">
        <v>0.15</v>
      </c>
    </row>
    <row r="910" customFormat="false" ht="15" hidden="false" customHeight="false" outlineLevel="0" collapsed="false">
      <c r="A910" s="25" t="s">
        <v>1202</v>
      </c>
      <c r="B910" s="25" t="s">
        <v>194</v>
      </c>
      <c r="C910" s="29" t="s">
        <v>203</v>
      </c>
      <c r="D910" s="29" t="n">
        <v>20</v>
      </c>
      <c r="E910" s="31" t="n">
        <v>41500</v>
      </c>
      <c r="F910" s="31" t="n">
        <v>5100</v>
      </c>
      <c r="G910" s="37" t="n">
        <v>0.12289156626506</v>
      </c>
    </row>
    <row r="911" customFormat="false" ht="15" hidden="false" customHeight="false" outlineLevel="0" collapsed="false">
      <c r="A911" s="20" t="s">
        <v>1203</v>
      </c>
      <c r="B911" s="20" t="s">
        <v>194</v>
      </c>
      <c r="C911" s="9" t="s">
        <v>203</v>
      </c>
      <c r="D911" s="9" t="n">
        <v>20</v>
      </c>
      <c r="E911" s="30" t="n">
        <v>41400</v>
      </c>
      <c r="F911" s="30" t="n">
        <v>6204</v>
      </c>
      <c r="G911" s="35" t="n">
        <v>0.149855072463768</v>
      </c>
    </row>
    <row r="912" customFormat="false" ht="15" hidden="false" customHeight="false" outlineLevel="0" collapsed="false">
      <c r="A912" s="25" t="s">
        <v>1204</v>
      </c>
      <c r="B912" s="25" t="s">
        <v>194</v>
      </c>
      <c r="C912" s="29" t="s">
        <v>297</v>
      </c>
      <c r="D912" s="29" t="n">
        <v>21</v>
      </c>
      <c r="E912" s="31" t="n">
        <v>41370</v>
      </c>
      <c r="F912" s="31" t="n">
        <v>25179</v>
      </c>
      <c r="G912" s="37" t="n">
        <v>0.608629441624366</v>
      </c>
    </row>
    <row r="913" customFormat="false" ht="15" hidden="false" customHeight="false" outlineLevel="0" collapsed="false">
      <c r="A913" s="20" t="s">
        <v>1205</v>
      </c>
      <c r="B913" s="9" t="s">
        <v>253</v>
      </c>
      <c r="C913" s="9" t="s">
        <v>428</v>
      </c>
      <c r="D913" s="9" t="n">
        <v>1</v>
      </c>
      <c r="E913" s="30" t="n">
        <v>41266</v>
      </c>
      <c r="F913" s="30" t="n">
        <v>6566</v>
      </c>
      <c r="G913" s="35" t="n">
        <v>0.15911404061455</v>
      </c>
    </row>
    <row r="914" customFormat="false" ht="15" hidden="false" customHeight="false" outlineLevel="0" collapsed="false">
      <c r="A914" s="25" t="s">
        <v>1206</v>
      </c>
      <c r="B914" s="25" t="s">
        <v>194</v>
      </c>
      <c r="C914" s="29" t="s">
        <v>203</v>
      </c>
      <c r="D914" s="29" t="n">
        <v>50</v>
      </c>
      <c r="E914" s="31" t="n">
        <v>41250</v>
      </c>
      <c r="F914" s="31" t="n">
        <v>30100</v>
      </c>
      <c r="G914" s="37" t="n">
        <v>0.72969696969697</v>
      </c>
    </row>
    <row r="915" customFormat="false" ht="15" hidden="false" customHeight="false" outlineLevel="0" collapsed="false">
      <c r="A915" s="20" t="s">
        <v>1207</v>
      </c>
      <c r="B915" s="9" t="s">
        <v>688</v>
      </c>
      <c r="C915" s="9" t="s">
        <v>209</v>
      </c>
      <c r="D915" s="9" t="n">
        <v>284</v>
      </c>
      <c r="E915" s="30" t="n">
        <v>41180</v>
      </c>
      <c r="F915" s="30" t="n">
        <v>6176</v>
      </c>
      <c r="G915" s="35" t="n">
        <v>0.149975716367169</v>
      </c>
    </row>
    <row r="916" customFormat="false" ht="15" hidden="false" customHeight="false" outlineLevel="0" collapsed="false">
      <c r="A916" s="25" t="s">
        <v>1208</v>
      </c>
      <c r="B916" s="25" t="s">
        <v>194</v>
      </c>
      <c r="C916" s="29" t="s">
        <v>223</v>
      </c>
      <c r="D916" s="29" t="n">
        <v>1</v>
      </c>
      <c r="E916" s="31" t="n">
        <v>41072</v>
      </c>
      <c r="F916" s="31" t="n">
        <v>13321</v>
      </c>
      <c r="G916" s="37" t="n">
        <v>0.324332878846903</v>
      </c>
    </row>
    <row r="917" customFormat="false" ht="15" hidden="false" customHeight="false" outlineLevel="0" collapsed="false">
      <c r="A917" s="20" t="s">
        <v>1209</v>
      </c>
      <c r="B917" s="20" t="s">
        <v>194</v>
      </c>
      <c r="C917" s="9" t="s">
        <v>203</v>
      </c>
      <c r="D917" s="9" t="n">
        <v>9</v>
      </c>
      <c r="E917" s="30" t="n">
        <v>41012</v>
      </c>
      <c r="F917" s="30" t="n">
        <v>30662</v>
      </c>
      <c r="G917" s="35" t="n">
        <v>0.747634838583829</v>
      </c>
    </row>
    <row r="918" customFormat="false" ht="15" hidden="false" customHeight="false" outlineLevel="0" collapsed="false">
      <c r="A918" s="25" t="s">
        <v>1210</v>
      </c>
      <c r="B918" s="29" t="s">
        <v>216</v>
      </c>
      <c r="C918" s="29" t="s">
        <v>428</v>
      </c>
      <c r="D918" s="29" t="n">
        <v>18</v>
      </c>
      <c r="E918" s="31" t="n">
        <v>40986</v>
      </c>
      <c r="F918" s="31" t="n">
        <v>7380</v>
      </c>
      <c r="G918" s="37" t="n">
        <v>0.180061484409311</v>
      </c>
    </row>
    <row r="919" customFormat="false" ht="15" hidden="false" customHeight="false" outlineLevel="0" collapsed="false">
      <c r="A919" s="20" t="s">
        <v>1211</v>
      </c>
      <c r="B919" s="20" t="s">
        <v>194</v>
      </c>
      <c r="C919" s="9" t="s">
        <v>203</v>
      </c>
      <c r="D919" s="9" t="n">
        <v>9</v>
      </c>
      <c r="E919" s="30" t="n">
        <v>40914</v>
      </c>
      <c r="F919" s="30" t="n">
        <v>2223</v>
      </c>
      <c r="G919" s="35" t="n">
        <v>0.0543334799824021</v>
      </c>
    </row>
    <row r="920" customFormat="false" ht="15" hidden="false" customHeight="false" outlineLevel="0" collapsed="false">
      <c r="A920" s="25" t="s">
        <v>1212</v>
      </c>
      <c r="B920" s="25" t="s">
        <v>194</v>
      </c>
      <c r="C920" s="29" t="s">
        <v>223</v>
      </c>
      <c r="D920" s="29" t="n">
        <v>7</v>
      </c>
      <c r="E920" s="31" t="n">
        <v>40887</v>
      </c>
      <c r="F920" s="31" t="n">
        <v>14266</v>
      </c>
      <c r="G920" s="37" t="n">
        <v>0.348912857387434</v>
      </c>
    </row>
    <row r="921" customFormat="false" ht="15" hidden="false" customHeight="false" outlineLevel="0" collapsed="false">
      <c r="A921" s="20" t="s">
        <v>1213</v>
      </c>
      <c r="B921" s="20" t="s">
        <v>194</v>
      </c>
      <c r="C921" s="9" t="s">
        <v>203</v>
      </c>
      <c r="D921" s="9" t="n">
        <v>1</v>
      </c>
      <c r="E921" s="30" t="n">
        <v>40706</v>
      </c>
      <c r="F921" s="30" t="n">
        <v>-90</v>
      </c>
      <c r="G921" s="35" t="n">
        <v>-0.0022109762688547</v>
      </c>
    </row>
    <row r="922" customFormat="false" ht="15" hidden="false" customHeight="false" outlineLevel="0" collapsed="false">
      <c r="A922" s="25" t="s">
        <v>1214</v>
      </c>
      <c r="B922" s="29" t="s">
        <v>1215</v>
      </c>
      <c r="C922" s="29" t="s">
        <v>380</v>
      </c>
      <c r="D922" s="29" t="n">
        <v>2</v>
      </c>
      <c r="E922" s="31" t="n">
        <v>40700</v>
      </c>
      <c r="F922" s="31" t="n">
        <v>6104</v>
      </c>
      <c r="G922" s="37" t="n">
        <v>0.14997542997543</v>
      </c>
    </row>
    <row r="923" customFormat="false" ht="15" hidden="false" customHeight="false" outlineLevel="0" collapsed="false">
      <c r="A923" s="20" t="s">
        <v>1216</v>
      </c>
      <c r="B923" s="20" t="s">
        <v>194</v>
      </c>
      <c r="C923" s="9" t="s">
        <v>203</v>
      </c>
      <c r="D923" s="9" t="n">
        <v>7</v>
      </c>
      <c r="E923" s="30" t="n">
        <v>40656</v>
      </c>
      <c r="F923" s="30" t="n">
        <v>18102</v>
      </c>
      <c r="G923" s="35" t="n">
        <v>0.445247933884298</v>
      </c>
    </row>
    <row r="924" customFormat="false" ht="15" hidden="false" customHeight="false" outlineLevel="0" collapsed="false">
      <c r="A924" s="25" t="s">
        <v>1217</v>
      </c>
      <c r="B924" s="29" t="s">
        <v>1218</v>
      </c>
      <c r="C924" s="29" t="s">
        <v>355</v>
      </c>
      <c r="D924" s="29" t="n">
        <v>18</v>
      </c>
      <c r="E924" s="31" t="n">
        <v>40626</v>
      </c>
      <c r="F924" s="31" t="n">
        <v>6098</v>
      </c>
      <c r="G924" s="37" t="n">
        <v>0.150100920592724</v>
      </c>
    </row>
    <row r="925" customFormat="false" ht="15" hidden="false" customHeight="false" outlineLevel="0" collapsed="false">
      <c r="A925" s="20" t="s">
        <v>1219</v>
      </c>
      <c r="B925" s="9" t="s">
        <v>216</v>
      </c>
      <c r="C925" s="9" t="s">
        <v>428</v>
      </c>
      <c r="D925" s="9" t="n">
        <v>16</v>
      </c>
      <c r="E925" s="30" t="n">
        <v>40432</v>
      </c>
      <c r="F925" s="30" t="n">
        <v>7280</v>
      </c>
      <c r="G925" s="35" t="n">
        <v>0.18005540166205</v>
      </c>
    </row>
    <row r="926" customFormat="false" ht="15" hidden="false" customHeight="false" outlineLevel="0" collapsed="false">
      <c r="A926" s="25" t="s">
        <v>1220</v>
      </c>
      <c r="B926" s="25" t="s">
        <v>200</v>
      </c>
      <c r="C926" s="29" t="s">
        <v>880</v>
      </c>
      <c r="D926" s="29" t="n">
        <v>2</v>
      </c>
      <c r="E926" s="31" t="n">
        <v>40408</v>
      </c>
      <c r="F926" s="31" t="n">
        <v>36968</v>
      </c>
      <c r="G926" s="37" t="n">
        <v>0.914868342902396</v>
      </c>
    </row>
    <row r="927" customFormat="false" ht="15" hidden="false" customHeight="false" outlineLevel="0" collapsed="false">
      <c r="A927" s="20" t="s">
        <v>1221</v>
      </c>
      <c r="B927" s="20" t="s">
        <v>194</v>
      </c>
      <c r="C927" s="9" t="s">
        <v>334</v>
      </c>
      <c r="D927" s="9" t="n">
        <v>56</v>
      </c>
      <c r="E927" s="30" t="n">
        <v>40320</v>
      </c>
      <c r="F927" s="30" t="n">
        <v>6272</v>
      </c>
      <c r="G927" s="35" t="n">
        <v>0.155555555555556</v>
      </c>
    </row>
    <row r="928" customFormat="false" ht="15" hidden="false" customHeight="false" outlineLevel="0" collapsed="false">
      <c r="A928" s="25" t="s">
        <v>1222</v>
      </c>
      <c r="B928" s="25" t="s">
        <v>194</v>
      </c>
      <c r="C928" s="29" t="s">
        <v>380</v>
      </c>
      <c r="D928" s="29" t="n">
        <v>1</v>
      </c>
      <c r="E928" s="31" t="n">
        <v>40098</v>
      </c>
      <c r="F928" s="31" t="n">
        <v>4937</v>
      </c>
      <c r="G928" s="37" t="n">
        <v>0.123123347797895</v>
      </c>
    </row>
    <row r="929" customFormat="false" ht="15" hidden="false" customHeight="false" outlineLevel="0" collapsed="false">
      <c r="A929" s="20" t="s">
        <v>1223</v>
      </c>
      <c r="B929" s="20" t="s">
        <v>194</v>
      </c>
      <c r="C929" s="9" t="s">
        <v>203</v>
      </c>
      <c r="D929" s="9" t="n">
        <v>8</v>
      </c>
      <c r="E929" s="30" t="n">
        <v>40024</v>
      </c>
      <c r="F929" s="30" t="n">
        <v>6848</v>
      </c>
      <c r="G929" s="35" t="n">
        <v>0.171097341595043</v>
      </c>
    </row>
    <row r="930" customFormat="false" ht="15" hidden="false" customHeight="false" outlineLevel="0" collapsed="false">
      <c r="A930" s="25" t="s">
        <v>1224</v>
      </c>
      <c r="B930" s="25" t="s">
        <v>200</v>
      </c>
      <c r="C930" s="29" t="s">
        <v>223</v>
      </c>
      <c r="D930" s="29" t="n">
        <v>31</v>
      </c>
      <c r="E930" s="31" t="n">
        <v>39990</v>
      </c>
      <c r="F930" s="31" t="n">
        <v>29605</v>
      </c>
      <c r="G930" s="37" t="n">
        <v>0.74031007751938</v>
      </c>
    </row>
    <row r="931" customFormat="false" ht="15" hidden="false" customHeight="false" outlineLevel="0" collapsed="false">
      <c r="A931" s="20" t="s">
        <v>1225</v>
      </c>
      <c r="B931" s="20" t="s">
        <v>194</v>
      </c>
      <c r="C931" s="9" t="s">
        <v>223</v>
      </c>
      <c r="D931" s="9" t="n">
        <v>7</v>
      </c>
      <c r="E931" s="30" t="n">
        <v>39942</v>
      </c>
      <c r="F931" s="30" t="n">
        <v>13391</v>
      </c>
      <c r="G931" s="35" t="n">
        <v>0.335261128636523</v>
      </c>
    </row>
    <row r="932" customFormat="false" ht="15" hidden="false" customHeight="false" outlineLevel="0" collapsed="false">
      <c r="A932" s="25" t="s">
        <v>1226</v>
      </c>
      <c r="B932" s="25" t="s">
        <v>194</v>
      </c>
      <c r="C932" s="29" t="s">
        <v>880</v>
      </c>
      <c r="D932" s="29" t="n">
        <v>1</v>
      </c>
      <c r="E932" s="31" t="n">
        <v>39824</v>
      </c>
      <c r="F932" s="31" t="n">
        <v>10278</v>
      </c>
      <c r="G932" s="37" t="n">
        <v>0.258085576536762</v>
      </c>
    </row>
    <row r="933" customFormat="false" ht="15" hidden="false" customHeight="false" outlineLevel="0" collapsed="false">
      <c r="A933" s="20" t="s">
        <v>1227</v>
      </c>
      <c r="B933" s="20" t="s">
        <v>240</v>
      </c>
      <c r="C933" s="9" t="s">
        <v>439</v>
      </c>
      <c r="D933" s="9" t="n">
        <v>6</v>
      </c>
      <c r="E933" s="30" t="n">
        <v>39803</v>
      </c>
      <c r="F933" s="30" t="n">
        <v>-11215</v>
      </c>
      <c r="G933" s="35" t="n">
        <v>-0.281762681204934</v>
      </c>
    </row>
    <row r="934" customFormat="false" ht="15" hidden="false" customHeight="false" outlineLevel="0" collapsed="false">
      <c r="A934" s="25" t="s">
        <v>1228</v>
      </c>
      <c r="B934" s="25" t="s">
        <v>194</v>
      </c>
      <c r="C934" s="29" t="s">
        <v>203</v>
      </c>
      <c r="D934" s="29" t="n">
        <v>9</v>
      </c>
      <c r="E934" s="31" t="n">
        <v>39789</v>
      </c>
      <c r="F934" s="31" t="n">
        <v>9297</v>
      </c>
      <c r="G934" s="37" t="n">
        <v>0.233657543542185</v>
      </c>
    </row>
    <row r="935" customFormat="false" ht="15" hidden="false" customHeight="false" outlineLevel="0" collapsed="false">
      <c r="A935" s="20" t="s">
        <v>1229</v>
      </c>
      <c r="B935" s="20" t="s">
        <v>194</v>
      </c>
      <c r="C935" s="9" t="s">
        <v>880</v>
      </c>
      <c r="D935" s="9" t="n">
        <v>1</v>
      </c>
      <c r="E935" s="30" t="n">
        <v>39779</v>
      </c>
      <c r="F935" s="30" t="n">
        <v>1952</v>
      </c>
      <c r="G935" s="35" t="n">
        <v>0.0490711179265441</v>
      </c>
    </row>
    <row r="936" customFormat="false" ht="15" hidden="false" customHeight="false" outlineLevel="0" collapsed="false">
      <c r="A936" s="25" t="s">
        <v>1230</v>
      </c>
      <c r="B936" s="29" t="s">
        <v>1231</v>
      </c>
      <c r="C936" s="29" t="s">
        <v>290</v>
      </c>
      <c r="D936" s="29" t="n">
        <v>60</v>
      </c>
      <c r="E936" s="31" t="n">
        <v>39600</v>
      </c>
      <c r="F936" s="31" t="n">
        <v>15660</v>
      </c>
      <c r="G936" s="37" t="n">
        <v>0.395454545454545</v>
      </c>
    </row>
    <row r="937" customFormat="false" ht="15" hidden="false" customHeight="false" outlineLevel="0" collapsed="false">
      <c r="A937" s="20" t="s">
        <v>1232</v>
      </c>
      <c r="B937" s="20" t="s">
        <v>240</v>
      </c>
      <c r="C937" s="9" t="s">
        <v>368</v>
      </c>
      <c r="D937" s="9" t="n">
        <v>4</v>
      </c>
      <c r="E937" s="30" t="n">
        <v>39520</v>
      </c>
      <c r="F937" s="30" t="n">
        <v>5928</v>
      </c>
      <c r="G937" s="35" t="n">
        <v>0.15</v>
      </c>
    </row>
    <row r="938" customFormat="false" ht="15" hidden="false" customHeight="false" outlineLevel="0" collapsed="false">
      <c r="A938" s="25" t="s">
        <v>1233</v>
      </c>
      <c r="B938" s="25" t="s">
        <v>308</v>
      </c>
      <c r="C938" s="29" t="s">
        <v>479</v>
      </c>
      <c r="D938" s="29" t="n">
        <v>3</v>
      </c>
      <c r="E938" s="31" t="n">
        <v>39477</v>
      </c>
      <c r="F938" s="31" t="n">
        <v>3231</v>
      </c>
      <c r="G938" s="37" t="n">
        <v>0.0818451250094992</v>
      </c>
    </row>
    <row r="939" customFormat="false" ht="15" hidden="false" customHeight="false" outlineLevel="0" collapsed="false">
      <c r="A939" s="20" t="s">
        <v>1234</v>
      </c>
      <c r="B939" s="20" t="s">
        <v>194</v>
      </c>
      <c r="C939" s="9" t="s">
        <v>368</v>
      </c>
      <c r="D939" s="9" t="n">
        <v>5</v>
      </c>
      <c r="E939" s="30" t="n">
        <v>39450</v>
      </c>
      <c r="F939" s="30" t="n">
        <v>5915</v>
      </c>
      <c r="G939" s="35" t="n">
        <v>0.149936628643853</v>
      </c>
    </row>
    <row r="940" customFormat="false" ht="15" hidden="false" customHeight="false" outlineLevel="0" collapsed="false">
      <c r="A940" s="25" t="s">
        <v>1235</v>
      </c>
      <c r="B940" s="25" t="s">
        <v>194</v>
      </c>
      <c r="C940" s="29" t="s">
        <v>428</v>
      </c>
      <c r="D940" s="29" t="n">
        <v>2</v>
      </c>
      <c r="E940" s="31" t="n">
        <v>39316</v>
      </c>
      <c r="F940" s="31" t="n">
        <v>11794</v>
      </c>
      <c r="G940" s="37" t="n">
        <v>0.299979652050056</v>
      </c>
    </row>
    <row r="941" customFormat="false" ht="15" hidden="false" customHeight="false" outlineLevel="0" collapsed="false">
      <c r="A941" s="20" t="s">
        <v>1236</v>
      </c>
      <c r="B941" s="9" t="s">
        <v>216</v>
      </c>
      <c r="C941" s="9" t="s">
        <v>428</v>
      </c>
      <c r="D941" s="9" t="n">
        <v>17</v>
      </c>
      <c r="E941" s="30" t="n">
        <v>39185</v>
      </c>
      <c r="F941" s="30" t="n">
        <v>5695</v>
      </c>
      <c r="G941" s="35" t="n">
        <v>0.145336225596529</v>
      </c>
    </row>
    <row r="942" customFormat="false" ht="15" hidden="false" customHeight="false" outlineLevel="0" collapsed="false">
      <c r="A942" s="25" t="s">
        <v>1237</v>
      </c>
      <c r="B942" s="25" t="s">
        <v>194</v>
      </c>
      <c r="C942" s="29" t="s">
        <v>223</v>
      </c>
      <c r="D942" s="29" t="n">
        <v>3</v>
      </c>
      <c r="E942" s="31" t="n">
        <v>39183</v>
      </c>
      <c r="F942" s="31" t="n">
        <v>5877</v>
      </c>
      <c r="G942" s="37" t="n">
        <v>0.149988515427609</v>
      </c>
    </row>
    <row r="943" customFormat="false" ht="15" hidden="false" customHeight="false" outlineLevel="0" collapsed="false">
      <c r="A943" s="20" t="s">
        <v>1238</v>
      </c>
      <c r="B943" s="20" t="s">
        <v>200</v>
      </c>
      <c r="C943" s="9" t="s">
        <v>209</v>
      </c>
      <c r="D943" s="9" t="n">
        <v>12</v>
      </c>
      <c r="E943" s="30" t="n">
        <v>39180</v>
      </c>
      <c r="F943" s="30" t="n">
        <v>18084</v>
      </c>
      <c r="G943" s="35" t="n">
        <v>0.46156202143951</v>
      </c>
    </row>
    <row r="944" customFormat="false" ht="15" hidden="false" customHeight="false" outlineLevel="0" collapsed="false">
      <c r="A944" s="25" t="s">
        <v>1239</v>
      </c>
      <c r="B944" s="25" t="s">
        <v>194</v>
      </c>
      <c r="C944" s="29" t="s">
        <v>206</v>
      </c>
      <c r="D944" s="29" t="n">
        <v>118</v>
      </c>
      <c r="E944" s="31" t="n">
        <v>39058</v>
      </c>
      <c r="F944" s="31" t="n">
        <v>7552</v>
      </c>
      <c r="G944" s="37" t="n">
        <v>0.193353474320242</v>
      </c>
    </row>
    <row r="945" customFormat="false" ht="15" hidden="false" customHeight="false" outlineLevel="0" collapsed="false">
      <c r="A945" s="20" t="s">
        <v>1240</v>
      </c>
      <c r="B945" s="9" t="s">
        <v>253</v>
      </c>
      <c r="C945" s="9" t="s">
        <v>254</v>
      </c>
      <c r="D945" s="9" t="n">
        <v>5</v>
      </c>
      <c r="E945" s="30" t="n">
        <v>38955</v>
      </c>
      <c r="F945" s="30" t="n">
        <v>36620</v>
      </c>
      <c r="G945" s="35" t="n">
        <v>0.940059042484919</v>
      </c>
    </row>
    <row r="946" customFormat="false" ht="15" hidden="false" customHeight="false" outlineLevel="0" collapsed="false">
      <c r="A946" s="25" t="s">
        <v>1241</v>
      </c>
      <c r="B946" s="25" t="s">
        <v>891</v>
      </c>
      <c r="C946" s="29" t="s">
        <v>297</v>
      </c>
      <c r="D946" s="29" t="n">
        <v>2</v>
      </c>
      <c r="E946" s="31" t="n">
        <v>38948</v>
      </c>
      <c r="F946" s="31" t="n">
        <v>5842</v>
      </c>
      <c r="G946" s="37" t="n">
        <v>0.149994864948136</v>
      </c>
    </row>
    <row r="947" customFormat="false" ht="15" hidden="false" customHeight="false" outlineLevel="0" collapsed="false">
      <c r="A947" s="20" t="s">
        <v>1242</v>
      </c>
      <c r="B947" s="20" t="s">
        <v>194</v>
      </c>
      <c r="C947" s="9" t="s">
        <v>195</v>
      </c>
      <c r="D947" s="9" t="n">
        <v>18</v>
      </c>
      <c r="E947" s="30" t="n">
        <v>38682</v>
      </c>
      <c r="F947" s="30" t="n">
        <v>5544</v>
      </c>
      <c r="G947" s="35" t="n">
        <v>0.143322475570033</v>
      </c>
    </row>
    <row r="948" customFormat="false" ht="15" hidden="false" customHeight="false" outlineLevel="0" collapsed="false">
      <c r="A948" s="25" t="s">
        <v>1243</v>
      </c>
      <c r="B948" s="29" t="s">
        <v>216</v>
      </c>
      <c r="C948" s="29" t="s">
        <v>428</v>
      </c>
      <c r="D948" s="29" t="n">
        <v>2</v>
      </c>
      <c r="E948" s="31" t="n">
        <v>38580</v>
      </c>
      <c r="F948" s="31" t="n">
        <v>5787</v>
      </c>
      <c r="G948" s="37" t="n">
        <v>0.15</v>
      </c>
    </row>
    <row r="949" customFormat="false" ht="15" hidden="false" customHeight="false" outlineLevel="0" collapsed="false">
      <c r="A949" s="20" t="s">
        <v>1244</v>
      </c>
      <c r="B949" s="20" t="s">
        <v>194</v>
      </c>
      <c r="C949" s="9" t="s">
        <v>334</v>
      </c>
      <c r="D949" s="9" t="n">
        <v>20</v>
      </c>
      <c r="E949" s="30" t="n">
        <v>38560</v>
      </c>
      <c r="F949" s="30" t="n">
        <v>9020</v>
      </c>
      <c r="G949" s="35" t="n">
        <v>0.233921161825726</v>
      </c>
    </row>
    <row r="950" customFormat="false" ht="15" hidden="false" customHeight="false" outlineLevel="0" collapsed="false">
      <c r="A950" s="25" t="s">
        <v>1245</v>
      </c>
      <c r="B950" s="25" t="s">
        <v>240</v>
      </c>
      <c r="C950" s="29" t="s">
        <v>368</v>
      </c>
      <c r="D950" s="29" t="n">
        <v>5</v>
      </c>
      <c r="E950" s="31" t="n">
        <v>38450</v>
      </c>
      <c r="F950" s="31" t="n">
        <v>34350</v>
      </c>
      <c r="G950" s="37" t="n">
        <v>0.893368010403121</v>
      </c>
    </row>
    <row r="951" customFormat="false" ht="15" hidden="false" customHeight="false" outlineLevel="0" collapsed="false">
      <c r="A951" s="20" t="s">
        <v>1246</v>
      </c>
      <c r="B951" s="20" t="s">
        <v>194</v>
      </c>
      <c r="C951" s="9" t="s">
        <v>203</v>
      </c>
      <c r="D951" s="9" t="n">
        <v>4</v>
      </c>
      <c r="E951" s="30" t="n">
        <v>38388</v>
      </c>
      <c r="F951" s="30" t="n">
        <v>-1572</v>
      </c>
      <c r="G951" s="35" t="n">
        <v>-0.0409502969678024</v>
      </c>
    </row>
    <row r="952" customFormat="false" ht="15" hidden="false" customHeight="false" outlineLevel="0" collapsed="false">
      <c r="A952" s="25" t="s">
        <v>1247</v>
      </c>
      <c r="B952" s="29" t="s">
        <v>253</v>
      </c>
      <c r="C952" s="29" t="s">
        <v>428</v>
      </c>
      <c r="D952" s="29" t="n">
        <v>30</v>
      </c>
      <c r="E952" s="31" t="n">
        <v>38370</v>
      </c>
      <c r="F952" s="31" t="n">
        <v>16500</v>
      </c>
      <c r="G952" s="37" t="n">
        <v>0.430023455824863</v>
      </c>
    </row>
    <row r="953" customFormat="false" ht="15" hidden="false" customHeight="false" outlineLevel="0" collapsed="false">
      <c r="A953" s="20" t="s">
        <v>1248</v>
      </c>
      <c r="B953" s="20" t="s">
        <v>194</v>
      </c>
      <c r="C953" s="9" t="s">
        <v>195</v>
      </c>
      <c r="D953" s="9" t="n">
        <v>19</v>
      </c>
      <c r="E953" s="30" t="n">
        <v>38304</v>
      </c>
      <c r="F953" s="30" t="n">
        <v>15941</v>
      </c>
      <c r="G953" s="35" t="n">
        <v>0.416170634920635</v>
      </c>
    </row>
    <row r="954" customFormat="false" ht="15" hidden="false" customHeight="false" outlineLevel="0" collapsed="false">
      <c r="A954" s="25" t="s">
        <v>1249</v>
      </c>
      <c r="B954" s="25" t="s">
        <v>194</v>
      </c>
      <c r="C954" s="29" t="s">
        <v>203</v>
      </c>
      <c r="D954" s="29" t="n">
        <v>1</v>
      </c>
      <c r="E954" s="31" t="n">
        <v>38286</v>
      </c>
      <c r="F954" s="31" t="n">
        <v>2174</v>
      </c>
      <c r="G954" s="37" t="n">
        <v>0.0567831583346392</v>
      </c>
    </row>
    <row r="955" customFormat="false" ht="15" hidden="false" customHeight="false" outlineLevel="0" collapsed="false">
      <c r="A955" s="20" t="s">
        <v>1250</v>
      </c>
      <c r="B955" s="9" t="s">
        <v>253</v>
      </c>
      <c r="C955" s="9" t="s">
        <v>223</v>
      </c>
      <c r="D955" s="9" t="n">
        <v>8</v>
      </c>
      <c r="E955" s="30" t="n">
        <v>38184</v>
      </c>
      <c r="F955" s="30" t="n">
        <v>4128</v>
      </c>
      <c r="G955" s="35" t="n">
        <v>0.108108108108108</v>
      </c>
    </row>
    <row r="956" customFormat="false" ht="15" hidden="false" customHeight="false" outlineLevel="0" collapsed="false">
      <c r="A956" s="25" t="s">
        <v>1251</v>
      </c>
      <c r="B956" s="25" t="s">
        <v>240</v>
      </c>
      <c r="C956" s="29" t="s">
        <v>223</v>
      </c>
      <c r="D956" s="29" t="n">
        <v>1</v>
      </c>
      <c r="E956" s="31" t="n">
        <v>38166</v>
      </c>
      <c r="F956" s="31" t="n">
        <v>8918</v>
      </c>
      <c r="G956" s="37" t="n">
        <v>0.233663470104281</v>
      </c>
    </row>
    <row r="957" customFormat="false" ht="15" hidden="false" customHeight="false" outlineLevel="0" collapsed="false">
      <c r="A957" s="20" t="s">
        <v>1252</v>
      </c>
      <c r="B957" s="20" t="s">
        <v>194</v>
      </c>
      <c r="C957" s="9" t="s">
        <v>201</v>
      </c>
      <c r="D957" s="9" t="n">
        <v>2</v>
      </c>
      <c r="E957" s="30" t="n">
        <v>38132</v>
      </c>
      <c r="F957" s="30" t="n">
        <v>7294</v>
      </c>
      <c r="G957" s="35" t="n">
        <v>0.19128291198993</v>
      </c>
    </row>
    <row r="958" customFormat="false" ht="15" hidden="false" customHeight="false" outlineLevel="0" collapsed="false">
      <c r="A958" s="25" t="s">
        <v>1253</v>
      </c>
      <c r="B958" s="29" t="s">
        <v>253</v>
      </c>
      <c r="C958" s="29" t="s">
        <v>355</v>
      </c>
      <c r="D958" s="29" t="n">
        <v>18</v>
      </c>
      <c r="E958" s="31" t="n">
        <v>38106</v>
      </c>
      <c r="F958" s="31" t="n">
        <v>5718</v>
      </c>
      <c r="G958" s="37" t="n">
        <v>0.150055109431586</v>
      </c>
    </row>
    <row r="959" customFormat="false" ht="15" hidden="false" customHeight="false" outlineLevel="0" collapsed="false">
      <c r="A959" s="20" t="s">
        <v>1254</v>
      </c>
      <c r="B959" s="20" t="s">
        <v>194</v>
      </c>
      <c r="C959" s="9" t="s">
        <v>203</v>
      </c>
      <c r="D959" s="9" t="n">
        <v>1</v>
      </c>
      <c r="E959" s="30" t="n">
        <v>38098</v>
      </c>
      <c r="F959" s="30" t="n">
        <v>7588</v>
      </c>
      <c r="G959" s="35" t="n">
        <v>0.19917056013439</v>
      </c>
    </row>
    <row r="960" customFormat="false" ht="15" hidden="false" customHeight="false" outlineLevel="0" collapsed="false">
      <c r="A960" s="25" t="s">
        <v>1255</v>
      </c>
      <c r="B960" s="25" t="s">
        <v>194</v>
      </c>
      <c r="C960" s="29" t="s">
        <v>334</v>
      </c>
      <c r="D960" s="29" t="n">
        <v>4</v>
      </c>
      <c r="E960" s="31" t="n">
        <v>37892</v>
      </c>
      <c r="F960" s="31" t="n">
        <v>10188</v>
      </c>
      <c r="G960" s="37" t="n">
        <v>0.268869418346881</v>
      </c>
    </row>
    <row r="961" customFormat="false" ht="15" hidden="false" customHeight="false" outlineLevel="0" collapsed="false">
      <c r="A961" s="20" t="s">
        <v>1256</v>
      </c>
      <c r="B961" s="20" t="s">
        <v>200</v>
      </c>
      <c r="C961" s="9" t="s">
        <v>622</v>
      </c>
      <c r="D961" s="9" t="n">
        <v>9</v>
      </c>
      <c r="E961" s="30" t="n">
        <v>37854</v>
      </c>
      <c r="F961" s="30" t="n">
        <v>-4032</v>
      </c>
      <c r="G961" s="35" t="n">
        <v>-0.106514503090823</v>
      </c>
    </row>
    <row r="962" customFormat="false" ht="15" hidden="false" customHeight="false" outlineLevel="0" collapsed="false">
      <c r="A962" s="25" t="s">
        <v>1257</v>
      </c>
      <c r="B962" s="25" t="s">
        <v>194</v>
      </c>
      <c r="C962" s="29" t="s">
        <v>203</v>
      </c>
      <c r="D962" s="29" t="n">
        <v>98</v>
      </c>
      <c r="E962" s="31" t="n">
        <v>37828</v>
      </c>
      <c r="F962" s="31" t="n">
        <v>6566</v>
      </c>
      <c r="G962" s="37" t="n">
        <v>0.173575129533679</v>
      </c>
    </row>
    <row r="963" customFormat="false" ht="15" hidden="false" customHeight="false" outlineLevel="0" collapsed="false">
      <c r="A963" s="20" t="s">
        <v>1258</v>
      </c>
      <c r="B963" s="9" t="s">
        <v>253</v>
      </c>
      <c r="C963" s="9" t="s">
        <v>223</v>
      </c>
      <c r="D963" s="9" t="n">
        <v>270</v>
      </c>
      <c r="E963" s="30" t="n">
        <v>37800</v>
      </c>
      <c r="F963" s="30" t="n">
        <v>10530</v>
      </c>
      <c r="G963" s="35" t="n">
        <v>0.278571428571429</v>
      </c>
    </row>
    <row r="964" customFormat="false" ht="15" hidden="false" customHeight="false" outlineLevel="0" collapsed="false">
      <c r="A964" s="25" t="s">
        <v>1259</v>
      </c>
      <c r="B964" s="25" t="s">
        <v>194</v>
      </c>
      <c r="C964" s="29" t="s">
        <v>391</v>
      </c>
      <c r="D964" s="29" t="n">
        <v>6</v>
      </c>
      <c r="E964" s="31" t="n">
        <v>37734</v>
      </c>
      <c r="F964" s="31" t="n">
        <v>9468</v>
      </c>
      <c r="G964" s="37" t="n">
        <v>0.250914294800445</v>
      </c>
    </row>
    <row r="965" customFormat="false" ht="15" hidden="false" customHeight="false" outlineLevel="0" collapsed="false">
      <c r="A965" s="20" t="s">
        <v>1260</v>
      </c>
      <c r="B965" s="20" t="s">
        <v>194</v>
      </c>
      <c r="C965" s="9" t="s">
        <v>203</v>
      </c>
      <c r="D965" s="9" t="n">
        <v>9</v>
      </c>
      <c r="E965" s="30" t="n">
        <v>37566</v>
      </c>
      <c r="F965" s="30" t="n">
        <v>20880</v>
      </c>
      <c r="G965" s="35" t="n">
        <v>0.555821753713464</v>
      </c>
    </row>
    <row r="966" customFormat="false" ht="15" hidden="false" customHeight="false" outlineLevel="0" collapsed="false">
      <c r="A966" s="25" t="s">
        <v>1261</v>
      </c>
      <c r="B966" s="29" t="s">
        <v>1262</v>
      </c>
      <c r="C966" s="29" t="s">
        <v>428</v>
      </c>
      <c r="D966" s="29" t="n">
        <v>7</v>
      </c>
      <c r="E966" s="31" t="n">
        <v>37548</v>
      </c>
      <c r="F966" s="31" t="n">
        <v>19985</v>
      </c>
      <c r="G966" s="37" t="n">
        <v>0.532252050708427</v>
      </c>
    </row>
    <row r="967" customFormat="false" ht="15" hidden="false" customHeight="false" outlineLevel="0" collapsed="false">
      <c r="A967" s="20" t="s">
        <v>1263</v>
      </c>
      <c r="B967" s="20" t="s">
        <v>1264</v>
      </c>
      <c r="C967" s="9" t="s">
        <v>391</v>
      </c>
      <c r="D967" s="9" t="n">
        <v>4</v>
      </c>
      <c r="E967" s="30" t="n">
        <v>37168</v>
      </c>
      <c r="F967" s="30" t="n">
        <v>33536</v>
      </c>
      <c r="G967" s="35" t="n">
        <v>0.902281532501076</v>
      </c>
    </row>
    <row r="968" customFormat="false" ht="15" hidden="false" customHeight="false" outlineLevel="0" collapsed="false">
      <c r="A968" s="25" t="s">
        <v>1265</v>
      </c>
      <c r="B968" s="25" t="s">
        <v>194</v>
      </c>
      <c r="C968" s="29" t="s">
        <v>203</v>
      </c>
      <c r="D968" s="29" t="n">
        <v>10</v>
      </c>
      <c r="E968" s="31" t="n">
        <v>36840</v>
      </c>
      <c r="F968" s="31" t="n">
        <v>30640</v>
      </c>
      <c r="G968" s="37" t="n">
        <v>0.831704668838219</v>
      </c>
    </row>
    <row r="969" customFormat="false" ht="15" hidden="false" customHeight="false" outlineLevel="0" collapsed="false">
      <c r="A969" s="20" t="s">
        <v>1266</v>
      </c>
      <c r="B969" s="9" t="s">
        <v>216</v>
      </c>
      <c r="C969" s="9" t="s">
        <v>428</v>
      </c>
      <c r="D969" s="9" t="n">
        <v>100</v>
      </c>
      <c r="E969" s="30" t="n">
        <v>36800</v>
      </c>
      <c r="F969" s="30" t="n">
        <v>24600</v>
      </c>
      <c r="G969" s="35" t="n">
        <v>0.668478260869565</v>
      </c>
    </row>
    <row r="970" customFormat="false" ht="15" hidden="false" customHeight="false" outlineLevel="0" collapsed="false">
      <c r="A970" s="25" t="s">
        <v>1267</v>
      </c>
      <c r="B970" s="29" t="s">
        <v>253</v>
      </c>
      <c r="C970" s="29" t="s">
        <v>223</v>
      </c>
      <c r="D970" s="29" t="n">
        <v>270</v>
      </c>
      <c r="E970" s="31" t="n">
        <v>36720</v>
      </c>
      <c r="F970" s="31" t="n">
        <v>4590</v>
      </c>
      <c r="G970" s="37" t="n">
        <v>0.125</v>
      </c>
    </row>
    <row r="971" customFormat="false" ht="15" hidden="false" customHeight="false" outlineLevel="0" collapsed="false">
      <c r="A971" s="20" t="s">
        <v>1268</v>
      </c>
      <c r="B971" s="9" t="s">
        <v>253</v>
      </c>
      <c r="C971" s="9" t="s">
        <v>223</v>
      </c>
      <c r="D971" s="9" t="n">
        <v>4</v>
      </c>
      <c r="E971" s="30" t="n">
        <v>36712</v>
      </c>
      <c r="F971" s="30" t="n">
        <v>8584</v>
      </c>
      <c r="G971" s="35" t="n">
        <v>0.233820004358248</v>
      </c>
    </row>
    <row r="972" customFormat="false" ht="15" hidden="false" customHeight="false" outlineLevel="0" collapsed="false">
      <c r="A972" s="25" t="s">
        <v>1269</v>
      </c>
      <c r="B972" s="25" t="s">
        <v>194</v>
      </c>
      <c r="C972" s="29" t="s">
        <v>209</v>
      </c>
      <c r="D972" s="29" t="n">
        <v>17</v>
      </c>
      <c r="E972" s="31" t="n">
        <v>36550</v>
      </c>
      <c r="F972" s="31" t="n">
        <v>17414</v>
      </c>
      <c r="G972" s="37" t="n">
        <v>0.476443228454172</v>
      </c>
    </row>
    <row r="973" customFormat="false" ht="15" hidden="false" customHeight="false" outlineLevel="0" collapsed="false">
      <c r="A973" s="20" t="s">
        <v>1270</v>
      </c>
      <c r="B973" s="20" t="s">
        <v>200</v>
      </c>
      <c r="C973" s="9" t="s">
        <v>201</v>
      </c>
      <c r="D973" s="9" t="n">
        <v>1</v>
      </c>
      <c r="E973" s="30" t="n">
        <v>36542</v>
      </c>
      <c r="F973" s="30" t="n">
        <v>7134</v>
      </c>
      <c r="G973" s="35" t="n">
        <v>0.195227409556127</v>
      </c>
    </row>
    <row r="974" customFormat="false" ht="15" hidden="false" customHeight="false" outlineLevel="0" collapsed="false">
      <c r="A974" s="25" t="s">
        <v>1271</v>
      </c>
      <c r="B974" s="25" t="s">
        <v>194</v>
      </c>
      <c r="C974" s="29" t="s">
        <v>223</v>
      </c>
      <c r="D974" s="29" t="n">
        <v>3</v>
      </c>
      <c r="E974" s="31" t="n">
        <v>36537</v>
      </c>
      <c r="F974" s="31" t="n">
        <v>5481</v>
      </c>
      <c r="G974" s="37" t="n">
        <v>0.150012316282125</v>
      </c>
    </row>
    <row r="975" customFormat="false" ht="15" hidden="false" customHeight="false" outlineLevel="0" collapsed="false">
      <c r="A975" s="20" t="s">
        <v>1272</v>
      </c>
      <c r="B975" s="20" t="s">
        <v>194</v>
      </c>
      <c r="C975" s="9" t="s">
        <v>203</v>
      </c>
      <c r="D975" s="9" t="n">
        <v>3</v>
      </c>
      <c r="E975" s="30" t="n">
        <v>36453</v>
      </c>
      <c r="F975" s="30" t="n">
        <v>20730</v>
      </c>
      <c r="G975" s="35" t="n">
        <v>0.56867747510493</v>
      </c>
    </row>
    <row r="976" customFormat="false" ht="15" hidden="false" customHeight="false" outlineLevel="0" collapsed="false">
      <c r="A976" s="25" t="s">
        <v>1273</v>
      </c>
      <c r="B976" s="25" t="s">
        <v>194</v>
      </c>
      <c r="C976" s="29" t="s">
        <v>223</v>
      </c>
      <c r="D976" s="29" t="n">
        <v>2</v>
      </c>
      <c r="E976" s="31" t="n">
        <v>36438</v>
      </c>
      <c r="F976" s="31" t="n">
        <v>2518</v>
      </c>
      <c r="G976" s="37" t="n">
        <v>0.0691036829683297</v>
      </c>
    </row>
    <row r="977" customFormat="false" ht="15" hidden="false" customHeight="false" outlineLevel="0" collapsed="false">
      <c r="A977" s="20" t="s">
        <v>1274</v>
      </c>
      <c r="B977" s="20" t="s">
        <v>1275</v>
      </c>
      <c r="C977" s="9" t="s">
        <v>334</v>
      </c>
      <c r="D977" s="9" t="n">
        <v>41</v>
      </c>
      <c r="E977" s="30" t="n">
        <v>36408</v>
      </c>
      <c r="F977" s="30" t="n">
        <v>5461</v>
      </c>
      <c r="G977" s="35" t="n">
        <v>0.149994506701824</v>
      </c>
    </row>
    <row r="978" customFormat="false" ht="15" hidden="false" customHeight="false" outlineLevel="0" collapsed="false">
      <c r="A978" s="25" t="s">
        <v>1276</v>
      </c>
      <c r="B978" s="25" t="s">
        <v>200</v>
      </c>
      <c r="C978" s="29" t="s">
        <v>428</v>
      </c>
      <c r="D978" s="29" t="n">
        <v>19</v>
      </c>
      <c r="E978" s="31" t="n">
        <v>36233</v>
      </c>
      <c r="F978" s="31" t="n">
        <v>12692</v>
      </c>
      <c r="G978" s="37" t="n">
        <v>0.350288411116938</v>
      </c>
    </row>
    <row r="979" customFormat="false" ht="15" hidden="false" customHeight="false" outlineLevel="0" collapsed="false">
      <c r="A979" s="20" t="s">
        <v>1277</v>
      </c>
      <c r="B979" s="20" t="s">
        <v>194</v>
      </c>
      <c r="C979" s="9" t="s">
        <v>203</v>
      </c>
      <c r="D979" s="9" t="n">
        <v>51</v>
      </c>
      <c r="E979" s="30" t="n">
        <v>36210</v>
      </c>
      <c r="F979" s="30" t="n">
        <v>28050</v>
      </c>
      <c r="G979" s="35" t="n">
        <v>0.774647887323944</v>
      </c>
    </row>
    <row r="980" customFormat="false" ht="15" hidden="false" customHeight="false" outlineLevel="0" collapsed="false">
      <c r="A980" s="25" t="s">
        <v>1278</v>
      </c>
      <c r="B980" s="25" t="s">
        <v>194</v>
      </c>
      <c r="C980" s="29" t="s">
        <v>439</v>
      </c>
      <c r="D980" s="29" t="n">
        <v>6</v>
      </c>
      <c r="E980" s="31" t="n">
        <v>36150</v>
      </c>
      <c r="F980" s="31" t="n">
        <v>21030</v>
      </c>
      <c r="G980" s="37" t="n">
        <v>0.581742738589212</v>
      </c>
    </row>
    <row r="981" customFormat="false" ht="15" hidden="false" customHeight="false" outlineLevel="0" collapsed="false">
      <c r="A981" s="20" t="s">
        <v>1279</v>
      </c>
      <c r="B981" s="20" t="s">
        <v>240</v>
      </c>
      <c r="C981" s="9" t="s">
        <v>368</v>
      </c>
      <c r="D981" s="9" t="n">
        <v>48</v>
      </c>
      <c r="E981" s="30" t="n">
        <v>36144</v>
      </c>
      <c r="F981" s="30" t="n">
        <v>34224</v>
      </c>
      <c r="G981" s="35" t="n">
        <v>0.946879150066401</v>
      </c>
    </row>
    <row r="982" customFormat="false" ht="15" hidden="false" customHeight="false" outlineLevel="0" collapsed="false">
      <c r="A982" s="25" t="s">
        <v>1280</v>
      </c>
      <c r="B982" s="25" t="s">
        <v>194</v>
      </c>
      <c r="C982" s="29" t="s">
        <v>203</v>
      </c>
      <c r="D982" s="29" t="n">
        <v>9</v>
      </c>
      <c r="E982" s="31" t="n">
        <v>36099</v>
      </c>
      <c r="F982" s="31" t="n">
        <v>1161</v>
      </c>
      <c r="G982" s="37" t="n">
        <v>0.0321615557217651</v>
      </c>
    </row>
    <row r="983" customFormat="false" ht="15" hidden="false" customHeight="false" outlineLevel="0" collapsed="false">
      <c r="A983" s="20" t="s">
        <v>1281</v>
      </c>
      <c r="B983" s="20" t="s">
        <v>200</v>
      </c>
      <c r="C983" s="9" t="s">
        <v>201</v>
      </c>
      <c r="D983" s="9" t="n">
        <v>2</v>
      </c>
      <c r="E983" s="30" t="n">
        <v>36006</v>
      </c>
      <c r="F983" s="30" t="n">
        <v>15558</v>
      </c>
      <c r="G983" s="35" t="n">
        <v>0.432094650891518</v>
      </c>
    </row>
    <row r="984" customFormat="false" ht="15" hidden="false" customHeight="false" outlineLevel="0" collapsed="false">
      <c r="A984" s="25" t="s">
        <v>1282</v>
      </c>
      <c r="B984" s="25" t="s">
        <v>194</v>
      </c>
      <c r="C984" s="29" t="s">
        <v>203</v>
      </c>
      <c r="D984" s="29" t="n">
        <v>9</v>
      </c>
      <c r="E984" s="31" t="n">
        <v>35946</v>
      </c>
      <c r="F984" s="31" t="n">
        <v>13158</v>
      </c>
      <c r="G984" s="37" t="n">
        <v>0.366049073610416</v>
      </c>
    </row>
    <row r="985" customFormat="false" ht="15" hidden="false" customHeight="false" outlineLevel="0" collapsed="false">
      <c r="A985" s="20" t="s">
        <v>1283</v>
      </c>
      <c r="B985" s="9" t="s">
        <v>253</v>
      </c>
      <c r="C985" s="9" t="s">
        <v>223</v>
      </c>
      <c r="D985" s="9" t="n">
        <v>2</v>
      </c>
      <c r="E985" s="30" t="n">
        <v>35930</v>
      </c>
      <c r="F985" s="30" t="n">
        <v>5390</v>
      </c>
      <c r="G985" s="35" t="n">
        <v>0.150013915947676</v>
      </c>
    </row>
    <row r="986" customFormat="false" ht="15" hidden="false" customHeight="false" outlineLevel="0" collapsed="false">
      <c r="A986" s="25" t="s">
        <v>1284</v>
      </c>
      <c r="B986" s="25" t="s">
        <v>194</v>
      </c>
      <c r="C986" s="29" t="s">
        <v>297</v>
      </c>
      <c r="D986" s="29" t="n">
        <v>2</v>
      </c>
      <c r="E986" s="31" t="n">
        <v>35554</v>
      </c>
      <c r="F986" s="31" t="n">
        <v>5334</v>
      </c>
      <c r="G986" s="37" t="n">
        <v>0.15002531360747</v>
      </c>
    </row>
    <row r="987" customFormat="false" ht="15" hidden="false" customHeight="false" outlineLevel="0" collapsed="false">
      <c r="A987" s="20" t="s">
        <v>1285</v>
      </c>
      <c r="B987" s="9" t="s">
        <v>216</v>
      </c>
      <c r="C987" s="9" t="s">
        <v>428</v>
      </c>
      <c r="D987" s="9" t="n">
        <v>30</v>
      </c>
      <c r="E987" s="30" t="n">
        <v>35280</v>
      </c>
      <c r="F987" s="30" t="n">
        <v>16110</v>
      </c>
      <c r="G987" s="35" t="n">
        <v>0.456632653061224</v>
      </c>
    </row>
    <row r="988" customFormat="false" ht="15" hidden="false" customHeight="false" outlineLevel="0" collapsed="false">
      <c r="A988" s="25" t="s">
        <v>1286</v>
      </c>
      <c r="B988" s="25" t="s">
        <v>194</v>
      </c>
      <c r="C988" s="29" t="s">
        <v>1020</v>
      </c>
      <c r="D988" s="29" t="n">
        <v>16</v>
      </c>
      <c r="E988" s="31" t="n">
        <v>35200</v>
      </c>
      <c r="F988" s="31" t="n">
        <v>13392</v>
      </c>
      <c r="G988" s="37" t="n">
        <v>0.380454545454545</v>
      </c>
    </row>
    <row r="989" customFormat="false" ht="15" hidden="false" customHeight="false" outlineLevel="0" collapsed="false">
      <c r="A989" s="20" t="s">
        <v>1287</v>
      </c>
      <c r="B989" s="20" t="s">
        <v>194</v>
      </c>
      <c r="C989" s="9" t="s">
        <v>1009</v>
      </c>
      <c r="D989" s="9" t="n">
        <v>6</v>
      </c>
      <c r="E989" s="30" t="n">
        <v>35162</v>
      </c>
      <c r="F989" s="30" t="n">
        <v>23246</v>
      </c>
      <c r="G989" s="35" t="n">
        <v>0.661111427108811</v>
      </c>
    </row>
    <row r="990" customFormat="false" ht="15" hidden="false" customHeight="false" outlineLevel="0" collapsed="false">
      <c r="A990" s="25" t="s">
        <v>1288</v>
      </c>
      <c r="B990" s="25" t="s">
        <v>194</v>
      </c>
      <c r="C990" s="29" t="s">
        <v>195</v>
      </c>
      <c r="D990" s="29" t="n">
        <v>2</v>
      </c>
      <c r="E990" s="31" t="n">
        <v>35134</v>
      </c>
      <c r="F990" s="31" t="n">
        <v>28912</v>
      </c>
      <c r="G990" s="37" t="n">
        <v>0.822906586212785</v>
      </c>
    </row>
    <row r="991" customFormat="false" ht="15" hidden="false" customHeight="false" outlineLevel="0" collapsed="false">
      <c r="A991" s="20" t="s">
        <v>1289</v>
      </c>
      <c r="B991" s="9" t="s">
        <v>1290</v>
      </c>
      <c r="C991" s="9" t="s">
        <v>209</v>
      </c>
      <c r="D991" s="9" t="n">
        <v>234</v>
      </c>
      <c r="E991" s="30" t="n">
        <v>35100</v>
      </c>
      <c r="F991" s="30" t="n">
        <v>5261</v>
      </c>
      <c r="G991" s="35" t="n">
        <v>0.14988603988604</v>
      </c>
    </row>
    <row r="992" customFormat="false" ht="15" hidden="false" customHeight="false" outlineLevel="0" collapsed="false">
      <c r="A992" s="25" t="s">
        <v>1291</v>
      </c>
      <c r="B992" s="29" t="s">
        <v>253</v>
      </c>
      <c r="C992" s="29" t="s">
        <v>254</v>
      </c>
      <c r="D992" s="29" t="n">
        <v>38</v>
      </c>
      <c r="E992" s="31" t="n">
        <v>35074</v>
      </c>
      <c r="F992" s="31" t="n">
        <v>18278</v>
      </c>
      <c r="G992" s="37" t="n">
        <v>0.52112676056338</v>
      </c>
    </row>
    <row r="993" customFormat="false" ht="15" hidden="false" customHeight="false" outlineLevel="0" collapsed="false">
      <c r="A993" s="20" t="s">
        <v>1292</v>
      </c>
      <c r="B993" s="20" t="s">
        <v>220</v>
      </c>
      <c r="C993" s="9" t="s">
        <v>217</v>
      </c>
      <c r="D993" s="9" t="n">
        <v>31</v>
      </c>
      <c r="E993" s="30" t="n">
        <v>35030</v>
      </c>
      <c r="F993" s="30" t="n">
        <v>6510</v>
      </c>
      <c r="G993" s="35" t="n">
        <v>0.185840707964602</v>
      </c>
    </row>
    <row r="994" customFormat="false" ht="15" hidden="false" customHeight="false" outlineLevel="0" collapsed="false">
      <c r="A994" s="25" t="s">
        <v>1293</v>
      </c>
      <c r="B994" s="25" t="s">
        <v>194</v>
      </c>
      <c r="C994" s="29" t="s">
        <v>195</v>
      </c>
      <c r="D994" s="29" t="n">
        <v>1</v>
      </c>
      <c r="E994" s="31" t="n">
        <v>35025</v>
      </c>
      <c r="F994" s="31" t="n">
        <v>8684</v>
      </c>
      <c r="G994" s="37" t="n">
        <v>0.247937187723055</v>
      </c>
    </row>
    <row r="995" customFormat="false" ht="15" hidden="false" customHeight="false" outlineLevel="0" collapsed="false">
      <c r="A995" s="20" t="s">
        <v>1294</v>
      </c>
      <c r="B995" s="20" t="s">
        <v>194</v>
      </c>
      <c r="C995" s="9" t="s">
        <v>201</v>
      </c>
      <c r="D995" s="9" t="n">
        <v>10</v>
      </c>
      <c r="E995" s="30" t="n">
        <v>35000</v>
      </c>
      <c r="F995" s="30" t="n">
        <v>5250</v>
      </c>
      <c r="G995" s="35" t="n">
        <v>0.15</v>
      </c>
    </row>
    <row r="996" customFormat="false" ht="15" hidden="false" customHeight="false" outlineLevel="0" collapsed="false">
      <c r="A996" s="25" t="s">
        <v>1295</v>
      </c>
      <c r="B996" s="25" t="s">
        <v>1296</v>
      </c>
      <c r="C996" s="29" t="s">
        <v>779</v>
      </c>
      <c r="D996" s="29" t="n">
        <v>115</v>
      </c>
      <c r="E996" s="31" t="n">
        <v>34960</v>
      </c>
      <c r="F996" s="31" t="n">
        <v>16445</v>
      </c>
      <c r="G996" s="37" t="n">
        <v>0.470394736842105</v>
      </c>
    </row>
    <row r="997" customFormat="false" ht="15" hidden="false" customHeight="false" outlineLevel="0" collapsed="false">
      <c r="A997" s="20" t="s">
        <v>1297</v>
      </c>
      <c r="B997" s="20" t="s">
        <v>194</v>
      </c>
      <c r="C997" s="9" t="s">
        <v>231</v>
      </c>
      <c r="D997" s="9" t="n">
        <v>11</v>
      </c>
      <c r="E997" s="30" t="n">
        <v>34936</v>
      </c>
      <c r="F997" s="30" t="n">
        <v>24717</v>
      </c>
      <c r="G997" s="35" t="n">
        <v>0.707493702770781</v>
      </c>
    </row>
    <row r="998" customFormat="false" ht="15" hidden="false" customHeight="false" outlineLevel="0" collapsed="false">
      <c r="A998" s="25" t="s">
        <v>1298</v>
      </c>
      <c r="B998" s="29" t="s">
        <v>216</v>
      </c>
      <c r="C998" s="29" t="s">
        <v>428</v>
      </c>
      <c r="D998" s="29" t="n">
        <v>20</v>
      </c>
      <c r="E998" s="31" t="n">
        <v>34920</v>
      </c>
      <c r="F998" s="31" t="n">
        <v>3740</v>
      </c>
      <c r="G998" s="37" t="n">
        <v>0.107101947308133</v>
      </c>
    </row>
    <row r="999" customFormat="false" ht="15" hidden="false" customHeight="false" outlineLevel="0" collapsed="false">
      <c r="A999" s="20" t="s">
        <v>1299</v>
      </c>
      <c r="B999" s="20" t="s">
        <v>194</v>
      </c>
      <c r="C999" s="9" t="s">
        <v>195</v>
      </c>
      <c r="D999" s="9" t="n">
        <v>8</v>
      </c>
      <c r="E999" s="30" t="n">
        <v>34904</v>
      </c>
      <c r="F999" s="30" t="n">
        <v>23280</v>
      </c>
      <c r="G999" s="35" t="n">
        <v>0.666972266788907</v>
      </c>
    </row>
    <row r="1000" customFormat="false" ht="15" hidden="false" customHeight="false" outlineLevel="0" collapsed="false">
      <c r="A1000" s="25" t="s">
        <v>1300</v>
      </c>
      <c r="B1000" s="25" t="s">
        <v>194</v>
      </c>
      <c r="C1000" s="29" t="s">
        <v>203</v>
      </c>
      <c r="D1000" s="29" t="n">
        <v>7</v>
      </c>
      <c r="E1000" s="31" t="n">
        <v>34888</v>
      </c>
      <c r="F1000" s="31" t="n">
        <v>26320</v>
      </c>
      <c r="G1000" s="37" t="n">
        <v>0.754414125200642</v>
      </c>
    </row>
    <row r="1001" customFormat="false" ht="15" hidden="false" customHeight="false" outlineLevel="0" collapsed="false">
      <c r="A1001" s="20" t="s">
        <v>1301</v>
      </c>
      <c r="B1001" s="9" t="s">
        <v>253</v>
      </c>
      <c r="C1001" s="9" t="s">
        <v>254</v>
      </c>
      <c r="D1001" s="9" t="n">
        <v>10</v>
      </c>
      <c r="E1001" s="30" t="n">
        <v>34870</v>
      </c>
      <c r="F1001" s="30" t="n">
        <v>29490</v>
      </c>
      <c r="G1001" s="35" t="n">
        <v>0.845712646974477</v>
      </c>
    </row>
    <row r="1002" customFormat="false" ht="15" hidden="false" customHeight="false" outlineLevel="0" collapsed="false">
      <c r="A1002" s="25" t="s">
        <v>1302</v>
      </c>
      <c r="B1002" s="25" t="s">
        <v>194</v>
      </c>
      <c r="C1002" s="29" t="s">
        <v>195</v>
      </c>
      <c r="D1002" s="29" t="n">
        <v>2</v>
      </c>
      <c r="E1002" s="31" t="n">
        <v>34784</v>
      </c>
      <c r="F1002" s="31" t="n">
        <v>23764</v>
      </c>
      <c r="G1002" s="37" t="n">
        <v>0.6831876724931</v>
      </c>
    </row>
    <row r="1003" customFormat="false" ht="15" hidden="false" customHeight="false" outlineLevel="0" collapsed="false">
      <c r="A1003" s="20" t="s">
        <v>1303</v>
      </c>
      <c r="B1003" s="20" t="s">
        <v>1264</v>
      </c>
      <c r="C1003" s="9" t="s">
        <v>391</v>
      </c>
      <c r="D1003" s="9" t="n">
        <v>2</v>
      </c>
      <c r="E1003" s="30" t="n">
        <v>34488</v>
      </c>
      <c r="F1003" s="30" t="n">
        <v>5174</v>
      </c>
      <c r="G1003" s="35" t="n">
        <v>0.150023196474136</v>
      </c>
    </row>
    <row r="1004" customFormat="false" ht="15" hidden="false" customHeight="false" outlineLevel="0" collapsed="false">
      <c r="A1004" s="25" t="s">
        <v>1304</v>
      </c>
      <c r="B1004" s="25" t="s">
        <v>194</v>
      </c>
      <c r="C1004" s="29" t="s">
        <v>223</v>
      </c>
      <c r="D1004" s="29" t="n">
        <v>38</v>
      </c>
      <c r="E1004" s="31" t="n">
        <v>34474</v>
      </c>
      <c r="F1004" s="31" t="n">
        <v>5860</v>
      </c>
      <c r="G1004" s="37" t="n">
        <v>0.169983175726635</v>
      </c>
    </row>
    <row r="1005" customFormat="false" ht="15" hidden="false" customHeight="false" outlineLevel="0" collapsed="false">
      <c r="A1005" s="20" t="s">
        <v>1305</v>
      </c>
      <c r="B1005" s="20" t="s">
        <v>194</v>
      </c>
      <c r="C1005" s="9" t="s">
        <v>197</v>
      </c>
      <c r="D1005" s="9" t="n">
        <v>4</v>
      </c>
      <c r="E1005" s="30" t="n">
        <v>34400</v>
      </c>
      <c r="F1005" s="30" t="n">
        <v>21372</v>
      </c>
      <c r="G1005" s="35" t="n">
        <v>0.621279069767442</v>
      </c>
    </row>
    <row r="1006" customFormat="false" ht="15" hidden="false" customHeight="false" outlineLevel="0" collapsed="false">
      <c r="A1006" s="25" t="s">
        <v>1306</v>
      </c>
      <c r="B1006" s="29" t="s">
        <v>253</v>
      </c>
      <c r="C1006" s="29" t="s">
        <v>254</v>
      </c>
      <c r="D1006" s="29" t="n">
        <v>30</v>
      </c>
      <c r="E1006" s="31" t="n">
        <v>34290</v>
      </c>
      <c r="F1006" s="31" t="n">
        <v>10440</v>
      </c>
      <c r="G1006" s="37" t="n">
        <v>0.304461942257218</v>
      </c>
    </row>
    <row r="1007" customFormat="false" ht="15" hidden="false" customHeight="false" outlineLevel="0" collapsed="false">
      <c r="A1007" s="20" t="s">
        <v>1307</v>
      </c>
      <c r="B1007" s="20" t="s">
        <v>1308</v>
      </c>
      <c r="C1007" s="9" t="s">
        <v>203</v>
      </c>
      <c r="D1007" s="9" t="n">
        <v>10</v>
      </c>
      <c r="E1007" s="30" t="n">
        <v>34280</v>
      </c>
      <c r="F1007" s="30" t="n">
        <v>5140</v>
      </c>
      <c r="G1007" s="35" t="n">
        <v>0.149941656942824</v>
      </c>
    </row>
    <row r="1008" customFormat="false" ht="15" hidden="false" customHeight="false" outlineLevel="0" collapsed="false">
      <c r="A1008" s="25" t="s">
        <v>1309</v>
      </c>
      <c r="B1008" s="25" t="s">
        <v>194</v>
      </c>
      <c r="C1008" s="29" t="s">
        <v>203</v>
      </c>
      <c r="D1008" s="29" t="n">
        <v>8</v>
      </c>
      <c r="E1008" s="31" t="n">
        <v>33968</v>
      </c>
      <c r="F1008" s="31" t="n">
        <v>9776</v>
      </c>
      <c r="G1008" s="37" t="n">
        <v>0.287800282618936</v>
      </c>
    </row>
    <row r="1009" customFormat="false" ht="15" hidden="false" customHeight="false" outlineLevel="0" collapsed="false">
      <c r="A1009" s="20" t="s">
        <v>1310</v>
      </c>
      <c r="B1009" s="20" t="s">
        <v>240</v>
      </c>
      <c r="C1009" s="9" t="s">
        <v>768</v>
      </c>
      <c r="D1009" s="9" t="n">
        <v>15</v>
      </c>
      <c r="E1009" s="30" t="n">
        <v>33885</v>
      </c>
      <c r="F1009" s="30" t="n">
        <v>16935</v>
      </c>
      <c r="G1009" s="35" t="n">
        <v>0.499778663125277</v>
      </c>
    </row>
    <row r="1010" customFormat="false" ht="15" hidden="false" customHeight="false" outlineLevel="0" collapsed="false">
      <c r="A1010" s="25" t="s">
        <v>1311</v>
      </c>
      <c r="B1010" s="25" t="s">
        <v>200</v>
      </c>
      <c r="C1010" s="29" t="s">
        <v>368</v>
      </c>
      <c r="D1010" s="29" t="n">
        <v>6</v>
      </c>
      <c r="E1010" s="31" t="n">
        <v>33818</v>
      </c>
      <c r="F1010" s="31" t="n">
        <v>5071</v>
      </c>
      <c r="G1010" s="37" t="n">
        <v>0.149949730912532</v>
      </c>
    </row>
    <row r="1011" customFormat="false" ht="15" hidden="false" customHeight="false" outlineLevel="0" collapsed="false">
      <c r="A1011" s="20" t="s">
        <v>1312</v>
      </c>
      <c r="B1011" s="9"/>
      <c r="C1011" s="9" t="s">
        <v>428</v>
      </c>
      <c r="D1011" s="9" t="n">
        <v>2</v>
      </c>
      <c r="E1011" s="30" t="n">
        <v>33750</v>
      </c>
      <c r="F1011" s="30" t="n">
        <v>10556</v>
      </c>
      <c r="G1011" s="35" t="n">
        <v>0.31277037037037</v>
      </c>
    </row>
    <row r="1012" customFormat="false" ht="15" hidden="false" customHeight="false" outlineLevel="0" collapsed="false">
      <c r="A1012" s="25" t="s">
        <v>1313</v>
      </c>
      <c r="B1012" s="25" t="s">
        <v>220</v>
      </c>
      <c r="C1012" s="29" t="s">
        <v>258</v>
      </c>
      <c r="D1012" s="29" t="n">
        <v>1</v>
      </c>
      <c r="E1012" s="31" t="n">
        <v>33686</v>
      </c>
      <c r="F1012" s="31" t="n">
        <v>9057</v>
      </c>
      <c r="G1012" s="37" t="n">
        <v>0.268865404025411</v>
      </c>
    </row>
    <row r="1013" customFormat="false" ht="15" hidden="false" customHeight="false" outlineLevel="0" collapsed="false">
      <c r="A1013" s="20" t="s">
        <v>1314</v>
      </c>
      <c r="B1013" s="20" t="s">
        <v>200</v>
      </c>
      <c r="C1013" s="9" t="s">
        <v>223</v>
      </c>
      <c r="D1013" s="9" t="n">
        <v>41</v>
      </c>
      <c r="E1013" s="30" t="n">
        <v>33661</v>
      </c>
      <c r="F1013" s="30" t="n">
        <v>9266</v>
      </c>
      <c r="G1013" s="35" t="n">
        <v>0.275274056029233</v>
      </c>
    </row>
    <row r="1014" customFormat="false" ht="15" hidden="false" customHeight="false" outlineLevel="0" collapsed="false">
      <c r="A1014" s="25" t="s">
        <v>1315</v>
      </c>
      <c r="B1014" s="29" t="s">
        <v>1316</v>
      </c>
      <c r="C1014" s="29" t="s">
        <v>223</v>
      </c>
      <c r="D1014" s="29" t="n">
        <v>5</v>
      </c>
      <c r="E1014" s="31" t="n">
        <v>33560</v>
      </c>
      <c r="F1014" s="31" t="n">
        <v>5034</v>
      </c>
      <c r="G1014" s="37" t="n">
        <v>0.15</v>
      </c>
    </row>
    <row r="1015" customFormat="false" ht="15" hidden="false" customHeight="false" outlineLevel="0" collapsed="false">
      <c r="A1015" s="20" t="s">
        <v>1317</v>
      </c>
      <c r="B1015" s="9"/>
      <c r="C1015" s="9" t="s">
        <v>428</v>
      </c>
      <c r="D1015" s="9" t="n">
        <v>50</v>
      </c>
      <c r="E1015" s="30" t="n">
        <v>33550</v>
      </c>
      <c r="F1015" s="30" t="n">
        <v>14100</v>
      </c>
      <c r="G1015" s="35" t="n">
        <v>0.42026825633383</v>
      </c>
    </row>
    <row r="1016" customFormat="false" ht="15" hidden="false" customHeight="false" outlineLevel="0" collapsed="false">
      <c r="A1016" s="25" t="s">
        <v>1318</v>
      </c>
      <c r="B1016" s="25" t="s">
        <v>988</v>
      </c>
      <c r="C1016" s="29" t="s">
        <v>391</v>
      </c>
      <c r="D1016" s="29" t="n">
        <v>5</v>
      </c>
      <c r="E1016" s="31" t="n">
        <v>33465</v>
      </c>
      <c r="F1016" s="31" t="n">
        <v>30965</v>
      </c>
      <c r="G1016" s="37" t="n">
        <v>0.925295084416555</v>
      </c>
    </row>
    <row r="1017" customFormat="false" ht="15" hidden="false" customHeight="false" outlineLevel="0" collapsed="false">
      <c r="A1017" s="20" t="s">
        <v>1319</v>
      </c>
      <c r="B1017" s="9" t="s">
        <v>216</v>
      </c>
      <c r="C1017" s="9" t="s">
        <v>428</v>
      </c>
      <c r="D1017" s="9" t="n">
        <v>20</v>
      </c>
      <c r="E1017" s="30" t="n">
        <v>33380</v>
      </c>
      <c r="F1017" s="30" t="n">
        <v>1380</v>
      </c>
      <c r="G1017" s="35" t="n">
        <v>0.0413421210305572</v>
      </c>
    </row>
    <row r="1018" customFormat="false" ht="15" hidden="false" customHeight="false" outlineLevel="0" collapsed="false">
      <c r="A1018" s="25" t="s">
        <v>1320</v>
      </c>
      <c r="B1018" s="25" t="s">
        <v>240</v>
      </c>
      <c r="C1018" s="29" t="s">
        <v>368</v>
      </c>
      <c r="D1018" s="29" t="n">
        <v>37</v>
      </c>
      <c r="E1018" s="31" t="n">
        <v>33366</v>
      </c>
      <c r="F1018" s="31" t="n">
        <v>9316</v>
      </c>
      <c r="G1018" s="37" t="n">
        <v>0.279206377749805</v>
      </c>
    </row>
    <row r="1019" customFormat="false" ht="15" hidden="false" customHeight="false" outlineLevel="0" collapsed="false">
      <c r="A1019" s="20" t="s">
        <v>1321</v>
      </c>
      <c r="B1019" s="20" t="s">
        <v>194</v>
      </c>
      <c r="C1019" s="9" t="s">
        <v>355</v>
      </c>
      <c r="D1019" s="9" t="n">
        <v>1</v>
      </c>
      <c r="E1019" s="30" t="n">
        <v>33350</v>
      </c>
      <c r="F1019" s="30" t="n">
        <v>11162</v>
      </c>
      <c r="G1019" s="35" t="n">
        <v>0.334692653673163</v>
      </c>
    </row>
    <row r="1020" customFormat="false" ht="15" hidden="false" customHeight="false" outlineLevel="0" collapsed="false">
      <c r="A1020" s="25" t="s">
        <v>1322</v>
      </c>
      <c r="B1020" s="25" t="s">
        <v>200</v>
      </c>
      <c r="C1020" s="29" t="s">
        <v>428</v>
      </c>
      <c r="D1020" s="29" t="n">
        <v>2</v>
      </c>
      <c r="E1020" s="31" t="n">
        <v>32960</v>
      </c>
      <c r="F1020" s="31" t="n">
        <v>16212</v>
      </c>
      <c r="G1020" s="37" t="n">
        <v>0.491868932038835</v>
      </c>
    </row>
    <row r="1021" customFormat="false" ht="15" hidden="false" customHeight="false" outlineLevel="0" collapsed="false">
      <c r="A1021" s="20" t="s">
        <v>1323</v>
      </c>
      <c r="B1021" s="20" t="s">
        <v>194</v>
      </c>
      <c r="C1021" s="9" t="s">
        <v>197</v>
      </c>
      <c r="D1021" s="9" t="n">
        <v>3</v>
      </c>
      <c r="E1021" s="30" t="n">
        <v>32895</v>
      </c>
      <c r="F1021" s="30" t="n">
        <v>18888</v>
      </c>
      <c r="G1021" s="35" t="n">
        <v>0.574190606475148</v>
      </c>
    </row>
    <row r="1022" customFormat="false" ht="15" hidden="false" customHeight="false" outlineLevel="0" collapsed="false">
      <c r="A1022" s="25" t="s">
        <v>1324</v>
      </c>
      <c r="B1022" s="29" t="s">
        <v>216</v>
      </c>
      <c r="C1022" s="29" t="s">
        <v>428</v>
      </c>
      <c r="D1022" s="29" t="n">
        <v>134</v>
      </c>
      <c r="E1022" s="31" t="n">
        <v>32830</v>
      </c>
      <c r="F1022" s="31" t="n">
        <v>23718</v>
      </c>
      <c r="G1022" s="37" t="n">
        <v>0.722448979591837</v>
      </c>
    </row>
    <row r="1023" customFormat="false" ht="15" hidden="false" customHeight="false" outlineLevel="0" collapsed="false">
      <c r="A1023" s="20" t="s">
        <v>1325</v>
      </c>
      <c r="B1023" s="9" t="s">
        <v>281</v>
      </c>
      <c r="C1023" s="9" t="s">
        <v>197</v>
      </c>
      <c r="D1023" s="9" t="n">
        <v>48</v>
      </c>
      <c r="E1023" s="30" t="n">
        <v>32736</v>
      </c>
      <c r="F1023" s="30" t="n">
        <v>8448</v>
      </c>
      <c r="G1023" s="35" t="n">
        <v>0.258064516129032</v>
      </c>
    </row>
    <row r="1024" customFormat="false" ht="15" hidden="false" customHeight="false" outlineLevel="0" collapsed="false">
      <c r="A1024" s="25" t="s">
        <v>1326</v>
      </c>
      <c r="B1024" s="25" t="s">
        <v>194</v>
      </c>
      <c r="C1024" s="29" t="s">
        <v>236</v>
      </c>
      <c r="D1024" s="29" t="n">
        <v>20</v>
      </c>
      <c r="E1024" s="31" t="n">
        <v>32720</v>
      </c>
      <c r="F1024" s="31" t="n">
        <v>10900</v>
      </c>
      <c r="G1024" s="37" t="n">
        <v>0.333129584352078</v>
      </c>
    </row>
    <row r="1025" customFormat="false" ht="15" hidden="false" customHeight="false" outlineLevel="0" collapsed="false">
      <c r="A1025" s="20" t="s">
        <v>1327</v>
      </c>
      <c r="B1025" s="20" t="s">
        <v>194</v>
      </c>
      <c r="C1025" s="9" t="s">
        <v>209</v>
      </c>
      <c r="D1025" s="9" t="n">
        <v>11</v>
      </c>
      <c r="E1025" s="30" t="n">
        <v>32637</v>
      </c>
      <c r="F1025" s="30" t="n">
        <v>18007</v>
      </c>
      <c r="G1025" s="35" t="n">
        <v>0.551735760026963</v>
      </c>
    </row>
    <row r="1026" customFormat="false" ht="15" hidden="false" customHeight="false" outlineLevel="0" collapsed="false">
      <c r="A1026" s="25" t="s">
        <v>1328</v>
      </c>
      <c r="B1026" s="25" t="s">
        <v>233</v>
      </c>
      <c r="C1026" s="29" t="s">
        <v>223</v>
      </c>
      <c r="D1026" s="29" t="n">
        <v>5</v>
      </c>
      <c r="E1026" s="31" t="n">
        <v>32555</v>
      </c>
      <c r="F1026" s="31" t="n">
        <v>10730</v>
      </c>
      <c r="G1026" s="37" t="n">
        <v>0.32959606819229</v>
      </c>
    </row>
    <row r="1027" customFormat="false" ht="15" hidden="false" customHeight="false" outlineLevel="0" collapsed="false">
      <c r="A1027" s="20" t="s">
        <v>1329</v>
      </c>
      <c r="B1027" s="9" t="s">
        <v>1330</v>
      </c>
      <c r="C1027" s="9" t="s">
        <v>768</v>
      </c>
      <c r="D1027" s="9" t="n">
        <v>6</v>
      </c>
      <c r="E1027" s="30" t="n">
        <v>32392</v>
      </c>
      <c r="F1027" s="30" t="n">
        <v>17962</v>
      </c>
      <c r="G1027" s="35" t="n">
        <v>0.554519634477649</v>
      </c>
    </row>
    <row r="1028" customFormat="false" ht="15" hidden="false" customHeight="false" outlineLevel="0" collapsed="false">
      <c r="A1028" s="25" t="s">
        <v>1331</v>
      </c>
      <c r="B1028" s="25" t="s">
        <v>194</v>
      </c>
      <c r="C1028" s="29" t="s">
        <v>217</v>
      </c>
      <c r="D1028" s="29" t="n">
        <v>1</v>
      </c>
      <c r="E1028" s="31" t="n">
        <v>32336</v>
      </c>
      <c r="F1028" s="31" t="n">
        <v>13822</v>
      </c>
      <c r="G1028" s="37" t="n">
        <v>0.427449282533399</v>
      </c>
    </row>
    <row r="1029" customFormat="false" ht="15" hidden="false" customHeight="false" outlineLevel="0" collapsed="false">
      <c r="A1029" s="20" t="s">
        <v>1332</v>
      </c>
      <c r="B1029" s="20" t="s">
        <v>194</v>
      </c>
      <c r="C1029" s="9" t="s">
        <v>203</v>
      </c>
      <c r="D1029" s="9" t="n">
        <v>16</v>
      </c>
      <c r="E1029" s="30" t="n">
        <v>32080</v>
      </c>
      <c r="F1029" s="30" t="n">
        <v>11856</v>
      </c>
      <c r="G1029" s="35" t="n">
        <v>0.369576059850374</v>
      </c>
    </row>
    <row r="1030" customFormat="false" ht="15" hidden="false" customHeight="false" outlineLevel="0" collapsed="false">
      <c r="A1030" s="25" t="s">
        <v>1333</v>
      </c>
      <c r="B1030" s="25" t="s">
        <v>194</v>
      </c>
      <c r="C1030" s="29" t="s">
        <v>380</v>
      </c>
      <c r="D1030" s="29" t="n">
        <v>2</v>
      </c>
      <c r="E1030" s="31" t="n">
        <v>32076</v>
      </c>
      <c r="F1030" s="31" t="n">
        <v>14460</v>
      </c>
      <c r="G1030" s="37" t="n">
        <v>0.450804339693229</v>
      </c>
    </row>
    <row r="1031" customFormat="false" ht="15" hidden="false" customHeight="false" outlineLevel="0" collapsed="false">
      <c r="A1031" s="20" t="s">
        <v>1334</v>
      </c>
      <c r="B1031" s="9" t="s">
        <v>253</v>
      </c>
      <c r="C1031" s="9" t="s">
        <v>428</v>
      </c>
      <c r="D1031" s="9" t="n">
        <v>1</v>
      </c>
      <c r="E1031" s="30" t="n">
        <v>32012</v>
      </c>
      <c r="F1031" s="30" t="n">
        <v>8912</v>
      </c>
      <c r="G1031" s="35" t="n">
        <v>0.278395601649382</v>
      </c>
    </row>
    <row r="1032" customFormat="false" ht="15" hidden="false" customHeight="false" outlineLevel="0" collapsed="false">
      <c r="A1032" s="25" t="s">
        <v>1335</v>
      </c>
      <c r="B1032" s="25" t="s">
        <v>194</v>
      </c>
      <c r="C1032" s="29" t="s">
        <v>203</v>
      </c>
      <c r="D1032" s="29" t="n">
        <v>8</v>
      </c>
      <c r="E1032" s="31" t="n">
        <v>31848</v>
      </c>
      <c r="F1032" s="31" t="n">
        <v>6064</v>
      </c>
      <c r="G1032" s="37" t="n">
        <v>0.190404420999749</v>
      </c>
    </row>
    <row r="1033" customFormat="false" ht="15" hidden="false" customHeight="false" outlineLevel="0" collapsed="false">
      <c r="A1033" s="20" t="s">
        <v>1336</v>
      </c>
      <c r="B1033" s="9" t="s">
        <v>281</v>
      </c>
      <c r="C1033" s="20" t="s">
        <v>226</v>
      </c>
      <c r="D1033" s="9" t="n">
        <v>5</v>
      </c>
      <c r="E1033" s="30" t="n">
        <v>31800</v>
      </c>
      <c r="F1033" s="30" t="n">
        <v>-7505</v>
      </c>
      <c r="G1033" s="35" t="n">
        <v>-0.236006289308176</v>
      </c>
    </row>
    <row r="1034" customFormat="false" ht="15" hidden="false" customHeight="false" outlineLevel="0" collapsed="false">
      <c r="A1034" s="25" t="s">
        <v>1337</v>
      </c>
      <c r="B1034" s="25" t="s">
        <v>194</v>
      </c>
      <c r="C1034" s="29" t="s">
        <v>195</v>
      </c>
      <c r="D1034" s="29" t="n">
        <v>1</v>
      </c>
      <c r="E1034" s="31" t="n">
        <v>31785</v>
      </c>
      <c r="F1034" s="31" t="n">
        <v>-1293</v>
      </c>
      <c r="G1034" s="37" t="n">
        <v>-0.04067956583294</v>
      </c>
    </row>
    <row r="1035" customFormat="false" ht="15" hidden="false" customHeight="false" outlineLevel="0" collapsed="false">
      <c r="A1035" s="20" t="s">
        <v>1338</v>
      </c>
      <c r="B1035" s="20" t="s">
        <v>194</v>
      </c>
      <c r="C1035" s="9" t="s">
        <v>206</v>
      </c>
      <c r="D1035" s="9" t="n">
        <v>59</v>
      </c>
      <c r="E1035" s="30" t="n">
        <v>31683</v>
      </c>
      <c r="F1035" s="30" t="n">
        <v>5723</v>
      </c>
      <c r="G1035" s="35" t="n">
        <v>0.180633147113594</v>
      </c>
    </row>
    <row r="1036" customFormat="false" ht="15" hidden="false" customHeight="false" outlineLevel="0" collapsed="false">
      <c r="A1036" s="25" t="s">
        <v>1339</v>
      </c>
      <c r="B1036" s="25" t="s">
        <v>194</v>
      </c>
      <c r="C1036" s="29" t="s">
        <v>223</v>
      </c>
      <c r="D1036" s="29" t="n">
        <v>32</v>
      </c>
      <c r="E1036" s="31" t="n">
        <v>31675</v>
      </c>
      <c r="F1036" s="31" t="n">
        <v>25275</v>
      </c>
      <c r="G1036" s="37" t="n">
        <v>0.797947908445146</v>
      </c>
    </row>
    <row r="1037" customFormat="false" ht="15" hidden="false" customHeight="false" outlineLevel="0" collapsed="false">
      <c r="A1037" s="20" t="s">
        <v>1340</v>
      </c>
      <c r="B1037" s="20" t="s">
        <v>194</v>
      </c>
      <c r="C1037" s="9" t="s">
        <v>206</v>
      </c>
      <c r="D1037" s="9" t="n">
        <v>17</v>
      </c>
      <c r="E1037" s="30" t="n">
        <v>31654</v>
      </c>
      <c r="F1037" s="30" t="n">
        <v>-2227</v>
      </c>
      <c r="G1037" s="35" t="n">
        <v>-0.0703544575725026</v>
      </c>
    </row>
    <row r="1038" customFormat="false" ht="15" hidden="false" customHeight="false" outlineLevel="0" collapsed="false">
      <c r="A1038" s="25" t="s">
        <v>1341</v>
      </c>
      <c r="B1038" s="29" t="s">
        <v>1342</v>
      </c>
      <c r="C1038" s="29" t="s">
        <v>290</v>
      </c>
      <c r="D1038" s="29" t="n">
        <v>18</v>
      </c>
      <c r="E1038" s="31" t="n">
        <v>31644</v>
      </c>
      <c r="F1038" s="31" t="n">
        <v>27144</v>
      </c>
      <c r="G1038" s="37" t="n">
        <v>0.857792946530148</v>
      </c>
    </row>
    <row r="1039" customFormat="false" ht="15" hidden="false" customHeight="false" outlineLevel="0" collapsed="false">
      <c r="A1039" s="20" t="s">
        <v>1343</v>
      </c>
      <c r="B1039" s="20" t="s">
        <v>200</v>
      </c>
      <c r="C1039" s="9" t="s">
        <v>430</v>
      </c>
      <c r="D1039" s="9" t="n">
        <v>2</v>
      </c>
      <c r="E1039" s="30" t="n">
        <v>31546</v>
      </c>
      <c r="F1039" s="30" t="n">
        <v>11150</v>
      </c>
      <c r="G1039" s="35" t="n">
        <v>0.353452101692766</v>
      </c>
    </row>
    <row r="1040" customFormat="false" ht="15" hidden="false" customHeight="false" outlineLevel="0" collapsed="false">
      <c r="A1040" s="25" t="s">
        <v>1344</v>
      </c>
      <c r="B1040" s="25" t="s">
        <v>194</v>
      </c>
      <c r="C1040" s="29" t="s">
        <v>203</v>
      </c>
      <c r="D1040" s="29" t="n">
        <v>3</v>
      </c>
      <c r="E1040" s="31" t="n">
        <v>31422</v>
      </c>
      <c r="F1040" s="31" t="n">
        <v>4713</v>
      </c>
      <c r="G1040" s="37" t="n">
        <v>0.149990452549169</v>
      </c>
    </row>
    <row r="1041" customFormat="false" ht="15" hidden="false" customHeight="false" outlineLevel="0" collapsed="false">
      <c r="A1041" s="20" t="s">
        <v>1345</v>
      </c>
      <c r="B1041" s="20" t="s">
        <v>855</v>
      </c>
      <c r="C1041" s="9" t="s">
        <v>334</v>
      </c>
      <c r="D1041" s="9" t="n">
        <v>4</v>
      </c>
      <c r="E1041" s="30" t="n">
        <v>31328</v>
      </c>
      <c r="F1041" s="30" t="n">
        <v>4699</v>
      </c>
      <c r="G1041" s="35" t="n">
        <v>0.149993615934627</v>
      </c>
    </row>
    <row r="1042" customFormat="false" ht="15" hidden="false" customHeight="false" outlineLevel="0" collapsed="false">
      <c r="A1042" s="25" t="s">
        <v>1346</v>
      </c>
      <c r="B1042" s="25" t="s">
        <v>194</v>
      </c>
      <c r="C1042" s="29" t="s">
        <v>197</v>
      </c>
      <c r="D1042" s="29" t="n">
        <v>4</v>
      </c>
      <c r="E1042" s="31" t="n">
        <v>31316</v>
      </c>
      <c r="F1042" s="31" t="n">
        <v>9732</v>
      </c>
      <c r="G1042" s="37" t="n">
        <v>0.310767658704815</v>
      </c>
    </row>
    <row r="1043" customFormat="false" ht="15" hidden="false" customHeight="false" outlineLevel="0" collapsed="false">
      <c r="A1043" s="20" t="s">
        <v>1347</v>
      </c>
      <c r="B1043" s="20" t="s">
        <v>194</v>
      </c>
      <c r="C1043" s="9" t="s">
        <v>391</v>
      </c>
      <c r="D1043" s="9" t="n">
        <v>4</v>
      </c>
      <c r="E1043" s="30" t="n">
        <v>31160</v>
      </c>
      <c r="F1043" s="30" t="n">
        <v>9472</v>
      </c>
      <c r="G1043" s="35" t="n">
        <v>0.30397946084724</v>
      </c>
    </row>
    <row r="1044" customFormat="false" ht="15" hidden="false" customHeight="false" outlineLevel="0" collapsed="false">
      <c r="A1044" s="25" t="s">
        <v>1348</v>
      </c>
      <c r="B1044" s="25" t="s">
        <v>194</v>
      </c>
      <c r="C1044" s="29" t="s">
        <v>206</v>
      </c>
      <c r="D1044" s="29" t="n">
        <v>46</v>
      </c>
      <c r="E1044" s="31" t="n">
        <v>31142</v>
      </c>
      <c r="F1044" s="31" t="n">
        <v>7268</v>
      </c>
      <c r="G1044" s="37" t="n">
        <v>0.233382570162482</v>
      </c>
    </row>
    <row r="1045" customFormat="false" ht="15" hidden="false" customHeight="false" outlineLevel="0" collapsed="false">
      <c r="A1045" s="20" t="s">
        <v>1349</v>
      </c>
      <c r="B1045" s="9" t="s">
        <v>253</v>
      </c>
      <c r="C1045" s="9" t="s">
        <v>254</v>
      </c>
      <c r="D1045" s="9" t="n">
        <v>4</v>
      </c>
      <c r="E1045" s="30" t="n">
        <v>31116</v>
      </c>
      <c r="F1045" s="30" t="n">
        <v>25848</v>
      </c>
      <c r="G1045" s="35" t="n">
        <v>0.830698033166217</v>
      </c>
    </row>
    <row r="1046" customFormat="false" ht="15" hidden="false" customHeight="false" outlineLevel="0" collapsed="false">
      <c r="A1046" s="25" t="s">
        <v>1350</v>
      </c>
      <c r="B1046" s="25" t="s">
        <v>194</v>
      </c>
      <c r="C1046" s="29" t="s">
        <v>1009</v>
      </c>
      <c r="D1046" s="29" t="n">
        <v>12</v>
      </c>
      <c r="E1046" s="31" t="n">
        <v>31112</v>
      </c>
      <c r="F1046" s="31" t="n">
        <v>4666</v>
      </c>
      <c r="G1046" s="37" t="n">
        <v>0.149974286448959</v>
      </c>
    </row>
    <row r="1047" customFormat="false" ht="15" hidden="false" customHeight="false" outlineLevel="0" collapsed="false">
      <c r="A1047" s="20" t="s">
        <v>1351</v>
      </c>
      <c r="B1047" s="20" t="s">
        <v>194</v>
      </c>
      <c r="C1047" s="9" t="s">
        <v>206</v>
      </c>
      <c r="D1047" s="9" t="n">
        <v>46</v>
      </c>
      <c r="E1047" s="30" t="n">
        <v>30958</v>
      </c>
      <c r="F1047" s="30" t="n">
        <v>7222</v>
      </c>
      <c r="G1047" s="35" t="n">
        <v>0.233283803863299</v>
      </c>
    </row>
    <row r="1048" customFormat="false" ht="15" hidden="false" customHeight="false" outlineLevel="0" collapsed="false">
      <c r="A1048" s="25" t="s">
        <v>1352</v>
      </c>
      <c r="B1048" s="29" t="s">
        <v>253</v>
      </c>
      <c r="C1048" s="29" t="s">
        <v>254</v>
      </c>
      <c r="D1048" s="29" t="n">
        <v>4</v>
      </c>
      <c r="E1048" s="31" t="n">
        <v>30940</v>
      </c>
      <c r="F1048" s="31" t="n">
        <v>25684</v>
      </c>
      <c r="G1048" s="37" t="n">
        <v>0.830122818358113</v>
      </c>
    </row>
    <row r="1049" customFormat="false" ht="15" hidden="false" customHeight="false" outlineLevel="0" collapsed="false">
      <c r="A1049" s="20" t="s">
        <v>1353</v>
      </c>
      <c r="B1049" s="9" t="s">
        <v>1354</v>
      </c>
      <c r="C1049" s="9" t="s">
        <v>1355</v>
      </c>
      <c r="D1049" s="9" t="n">
        <v>20</v>
      </c>
      <c r="E1049" s="30" t="n">
        <v>30920</v>
      </c>
      <c r="F1049" s="30" t="n">
        <v>4638</v>
      </c>
      <c r="G1049" s="35" t="n">
        <v>0.15</v>
      </c>
    </row>
    <row r="1050" customFormat="false" ht="15" hidden="false" customHeight="false" outlineLevel="0" collapsed="false">
      <c r="A1050" s="25" t="s">
        <v>1356</v>
      </c>
      <c r="B1050" s="25" t="s">
        <v>220</v>
      </c>
      <c r="C1050" s="29" t="s">
        <v>258</v>
      </c>
      <c r="D1050" s="29" t="n">
        <v>1</v>
      </c>
      <c r="E1050" s="31" t="n">
        <v>30907</v>
      </c>
      <c r="F1050" s="31" t="n">
        <v>7183</v>
      </c>
      <c r="G1050" s="37" t="n">
        <v>0.232406898113696</v>
      </c>
    </row>
    <row r="1051" customFormat="false" ht="15" hidden="false" customHeight="false" outlineLevel="0" collapsed="false">
      <c r="A1051" s="20" t="s">
        <v>1357</v>
      </c>
      <c r="B1051" s="20" t="s">
        <v>194</v>
      </c>
      <c r="C1051" s="9" t="s">
        <v>334</v>
      </c>
      <c r="D1051" s="9" t="n">
        <v>4</v>
      </c>
      <c r="E1051" s="30" t="n">
        <v>30904</v>
      </c>
      <c r="F1051" s="30" t="n">
        <v>6712</v>
      </c>
      <c r="G1051" s="35" t="n">
        <v>0.217188713435154</v>
      </c>
    </row>
    <row r="1052" customFormat="false" ht="15" hidden="false" customHeight="false" outlineLevel="0" collapsed="false">
      <c r="A1052" s="25" t="s">
        <v>1358</v>
      </c>
      <c r="B1052" s="25" t="s">
        <v>220</v>
      </c>
      <c r="C1052" s="29" t="s">
        <v>217</v>
      </c>
      <c r="D1052" s="29" t="n">
        <v>2</v>
      </c>
      <c r="E1052" s="31" t="n">
        <v>30594</v>
      </c>
      <c r="F1052" s="31" t="n">
        <v>12802</v>
      </c>
      <c r="G1052" s="37" t="n">
        <v>0.418448061711447</v>
      </c>
    </row>
    <row r="1053" customFormat="false" ht="15" hidden="false" customHeight="false" outlineLevel="0" collapsed="false">
      <c r="A1053" s="20" t="s">
        <v>1359</v>
      </c>
      <c r="B1053" s="9" t="s">
        <v>216</v>
      </c>
      <c r="C1053" s="9" t="s">
        <v>428</v>
      </c>
      <c r="D1053" s="9" t="n">
        <v>20</v>
      </c>
      <c r="E1053" s="30" t="n">
        <v>30520</v>
      </c>
      <c r="F1053" s="30" t="n">
        <v>8800</v>
      </c>
      <c r="G1053" s="35" t="n">
        <v>0.288335517693316</v>
      </c>
    </row>
    <row r="1054" customFormat="false" ht="15" hidden="false" customHeight="false" outlineLevel="0" collapsed="false">
      <c r="A1054" s="25" t="s">
        <v>1360</v>
      </c>
      <c r="B1054" s="25" t="s">
        <v>194</v>
      </c>
      <c r="C1054" s="29" t="s">
        <v>195</v>
      </c>
      <c r="D1054" s="29" t="n">
        <v>4</v>
      </c>
      <c r="E1054" s="31" t="n">
        <v>30476</v>
      </c>
      <c r="F1054" s="31" t="n">
        <v>10112</v>
      </c>
      <c r="G1054" s="37" t="n">
        <v>0.331802073762961</v>
      </c>
    </row>
    <row r="1055" customFormat="false" ht="15" hidden="false" customHeight="false" outlineLevel="0" collapsed="false">
      <c r="A1055" s="20" t="s">
        <v>1361</v>
      </c>
      <c r="B1055" s="20" t="s">
        <v>194</v>
      </c>
      <c r="C1055" s="9" t="s">
        <v>334</v>
      </c>
      <c r="D1055" s="9" t="n">
        <v>60</v>
      </c>
      <c r="E1055" s="30" t="n">
        <v>30420</v>
      </c>
      <c r="F1055" s="30" t="n">
        <v>4380</v>
      </c>
      <c r="G1055" s="35" t="n">
        <v>0.143984220907298</v>
      </c>
    </row>
    <row r="1056" customFormat="false" ht="15" hidden="false" customHeight="false" outlineLevel="0" collapsed="false">
      <c r="A1056" s="25" t="s">
        <v>1362</v>
      </c>
      <c r="B1056" s="25" t="s">
        <v>194</v>
      </c>
      <c r="C1056" s="29" t="s">
        <v>334</v>
      </c>
      <c r="D1056" s="29" t="n">
        <v>4</v>
      </c>
      <c r="E1056" s="31" t="n">
        <v>30368</v>
      </c>
      <c r="F1056" s="31" t="n">
        <v>5008</v>
      </c>
      <c r="G1056" s="37" t="n">
        <v>0.16491043203372</v>
      </c>
    </row>
    <row r="1057" customFormat="false" ht="15" hidden="false" customHeight="false" outlineLevel="0" collapsed="false">
      <c r="A1057" s="20" t="s">
        <v>1363</v>
      </c>
      <c r="B1057" s="9" t="s">
        <v>281</v>
      </c>
      <c r="C1057" s="9" t="s">
        <v>197</v>
      </c>
      <c r="D1057" s="9" t="n">
        <v>4</v>
      </c>
      <c r="E1057" s="30" t="n">
        <v>30356</v>
      </c>
      <c r="F1057" s="30" t="n">
        <v>16812</v>
      </c>
      <c r="G1057" s="35" t="n">
        <v>0.553827908815391</v>
      </c>
    </row>
    <row r="1058" customFormat="false" ht="15" hidden="false" customHeight="false" outlineLevel="0" collapsed="false">
      <c r="A1058" s="25" t="s">
        <v>1364</v>
      </c>
      <c r="B1058" s="25" t="s">
        <v>200</v>
      </c>
      <c r="C1058" s="29" t="s">
        <v>428</v>
      </c>
      <c r="D1058" s="29" t="n">
        <v>50</v>
      </c>
      <c r="E1058" s="31" t="n">
        <v>30350</v>
      </c>
      <c r="F1058" s="31" t="n">
        <v>12250</v>
      </c>
      <c r="G1058" s="37" t="n">
        <v>0.403624382207578</v>
      </c>
    </row>
    <row r="1059" customFormat="false" ht="15" hidden="false" customHeight="false" outlineLevel="0" collapsed="false">
      <c r="A1059" s="20" t="s">
        <v>1365</v>
      </c>
      <c r="B1059" s="20" t="s">
        <v>194</v>
      </c>
      <c r="C1059" s="9" t="s">
        <v>231</v>
      </c>
      <c r="D1059" s="9" t="n">
        <v>44</v>
      </c>
      <c r="E1059" s="30" t="n">
        <v>30316</v>
      </c>
      <c r="F1059" s="30" t="n">
        <v>5676</v>
      </c>
      <c r="G1059" s="35" t="n">
        <v>0.187227866473149</v>
      </c>
    </row>
    <row r="1060" customFormat="false" ht="15" hidden="false" customHeight="false" outlineLevel="0" collapsed="false">
      <c r="A1060" s="25" t="s">
        <v>1366</v>
      </c>
      <c r="B1060" s="25" t="s">
        <v>194</v>
      </c>
      <c r="C1060" s="29" t="s">
        <v>195</v>
      </c>
      <c r="D1060" s="29" t="n">
        <v>1</v>
      </c>
      <c r="E1060" s="31" t="n">
        <v>30243</v>
      </c>
      <c r="F1060" s="31" t="n">
        <v>26468</v>
      </c>
      <c r="G1060" s="37" t="n">
        <v>0.87517772707734</v>
      </c>
    </row>
    <row r="1061" customFormat="false" ht="15" hidden="false" customHeight="false" outlineLevel="0" collapsed="false">
      <c r="A1061" s="20" t="s">
        <v>1367</v>
      </c>
      <c r="B1061" s="20" t="s">
        <v>194</v>
      </c>
      <c r="C1061" s="9" t="s">
        <v>217</v>
      </c>
      <c r="D1061" s="9" t="n">
        <v>3</v>
      </c>
      <c r="E1061" s="30" t="n">
        <v>30114</v>
      </c>
      <c r="F1061" s="30" t="n">
        <v>12534</v>
      </c>
      <c r="G1061" s="35" t="n">
        <v>0.416218370193266</v>
      </c>
    </row>
    <row r="1062" customFormat="false" ht="15" hidden="false" customHeight="false" outlineLevel="0" collapsed="false">
      <c r="A1062" s="25" t="s">
        <v>1368</v>
      </c>
      <c r="B1062" s="25" t="s">
        <v>194</v>
      </c>
      <c r="C1062" s="29" t="s">
        <v>880</v>
      </c>
      <c r="D1062" s="29" t="n">
        <v>1</v>
      </c>
      <c r="E1062" s="31" t="n">
        <v>30091</v>
      </c>
      <c r="F1062" s="31" t="n">
        <v>4514</v>
      </c>
      <c r="G1062" s="37" t="n">
        <v>0.150011631384799</v>
      </c>
    </row>
    <row r="1063" customFormat="false" ht="15" hidden="false" customHeight="false" outlineLevel="0" collapsed="false">
      <c r="A1063" s="20" t="s">
        <v>1369</v>
      </c>
      <c r="B1063" s="20" t="s">
        <v>194</v>
      </c>
      <c r="C1063" s="9" t="s">
        <v>334</v>
      </c>
      <c r="D1063" s="9" t="n">
        <v>1</v>
      </c>
      <c r="E1063" s="30" t="n">
        <v>30090</v>
      </c>
      <c r="F1063" s="30" t="n">
        <v>9088</v>
      </c>
      <c r="G1063" s="35" t="n">
        <v>0.302027251578598</v>
      </c>
    </row>
    <row r="1064" customFormat="false" ht="15" hidden="false" customHeight="false" outlineLevel="0" collapsed="false">
      <c r="A1064" s="25" t="s">
        <v>1370</v>
      </c>
      <c r="B1064" s="29" t="s">
        <v>1371</v>
      </c>
      <c r="C1064" s="29" t="s">
        <v>223</v>
      </c>
      <c r="D1064" s="29" t="n">
        <v>300</v>
      </c>
      <c r="E1064" s="31" t="n">
        <v>30000</v>
      </c>
      <c r="F1064" s="31" t="n">
        <v>4500</v>
      </c>
      <c r="G1064" s="37" t="n">
        <v>0.15</v>
      </c>
    </row>
    <row r="1065" customFormat="false" ht="15" hidden="false" customHeight="false" outlineLevel="0" collapsed="false">
      <c r="A1065" s="20" t="s">
        <v>1372</v>
      </c>
      <c r="B1065" s="20" t="s">
        <v>240</v>
      </c>
      <c r="C1065" s="9" t="s">
        <v>439</v>
      </c>
      <c r="D1065" s="9" t="n">
        <v>72</v>
      </c>
      <c r="E1065" s="30" t="n">
        <v>29944</v>
      </c>
      <c r="F1065" s="30" t="n">
        <v>14824</v>
      </c>
      <c r="G1065" s="35" t="n">
        <v>0.495057440555704</v>
      </c>
    </row>
    <row r="1066" customFormat="false" ht="15" hidden="false" customHeight="false" outlineLevel="0" collapsed="false">
      <c r="A1066" s="25" t="s">
        <v>1373</v>
      </c>
      <c r="B1066" s="25" t="s">
        <v>194</v>
      </c>
      <c r="C1066" s="29" t="s">
        <v>295</v>
      </c>
      <c r="D1066" s="29" t="n">
        <v>1</v>
      </c>
      <c r="E1066" s="31" t="n">
        <v>29806</v>
      </c>
      <c r="F1066" s="31" t="n">
        <v>17264</v>
      </c>
      <c r="G1066" s="37" t="n">
        <v>0.579212239146481</v>
      </c>
    </row>
    <row r="1067" customFormat="false" ht="15" hidden="false" customHeight="false" outlineLevel="0" collapsed="false">
      <c r="A1067" s="20" t="s">
        <v>1374</v>
      </c>
      <c r="B1067" s="20" t="s">
        <v>194</v>
      </c>
      <c r="C1067" s="9" t="s">
        <v>203</v>
      </c>
      <c r="D1067" s="9" t="n">
        <v>18</v>
      </c>
      <c r="E1067" s="30" t="n">
        <v>29700</v>
      </c>
      <c r="F1067" s="30" t="n">
        <v>18900</v>
      </c>
      <c r="G1067" s="35" t="n">
        <v>0.636363636363636</v>
      </c>
    </row>
    <row r="1068" customFormat="false" ht="15" hidden="false" customHeight="false" outlineLevel="0" collapsed="false">
      <c r="A1068" s="25" t="s">
        <v>1375</v>
      </c>
      <c r="B1068" s="25" t="s">
        <v>200</v>
      </c>
      <c r="C1068" s="29" t="s">
        <v>297</v>
      </c>
      <c r="D1068" s="29" t="n">
        <v>2</v>
      </c>
      <c r="E1068" s="31" t="n">
        <v>29603</v>
      </c>
      <c r="F1068" s="31" t="n">
        <v>7981</v>
      </c>
      <c r="G1068" s="37" t="n">
        <v>0.269601053947235</v>
      </c>
    </row>
    <row r="1069" customFormat="false" ht="15" hidden="false" customHeight="false" outlineLevel="0" collapsed="false">
      <c r="A1069" s="20" t="s">
        <v>1376</v>
      </c>
      <c r="B1069" s="20" t="s">
        <v>194</v>
      </c>
      <c r="C1069" s="9" t="s">
        <v>334</v>
      </c>
      <c r="D1069" s="9" t="n">
        <v>56</v>
      </c>
      <c r="E1069" s="30" t="n">
        <v>29568</v>
      </c>
      <c r="F1069" s="30" t="n">
        <v>4536</v>
      </c>
      <c r="G1069" s="35" t="n">
        <v>0.153409090909091</v>
      </c>
    </row>
    <row r="1070" customFormat="false" ht="15" hidden="false" customHeight="false" outlineLevel="0" collapsed="false">
      <c r="A1070" s="25" t="s">
        <v>1377</v>
      </c>
      <c r="B1070" s="29" t="s">
        <v>216</v>
      </c>
      <c r="C1070" s="29" t="s">
        <v>927</v>
      </c>
      <c r="D1070" s="29" t="n">
        <v>15</v>
      </c>
      <c r="E1070" s="31" t="n">
        <v>29565</v>
      </c>
      <c r="F1070" s="31" t="n">
        <v>4435</v>
      </c>
      <c r="G1070" s="37" t="n">
        <v>0.150008455944529</v>
      </c>
    </row>
    <row r="1071" customFormat="false" ht="15" hidden="false" customHeight="false" outlineLevel="0" collapsed="false">
      <c r="A1071" s="20" t="s">
        <v>1378</v>
      </c>
      <c r="B1071" s="9" t="s">
        <v>253</v>
      </c>
      <c r="C1071" s="9" t="s">
        <v>254</v>
      </c>
      <c r="D1071" s="9" t="n">
        <v>38</v>
      </c>
      <c r="E1071" s="30" t="n">
        <v>29564</v>
      </c>
      <c r="F1071" s="30" t="n">
        <v>-1026</v>
      </c>
      <c r="G1071" s="35" t="n">
        <v>-0.0347043701799485</v>
      </c>
    </row>
    <row r="1072" customFormat="false" ht="15" hidden="false" customHeight="false" outlineLevel="0" collapsed="false">
      <c r="A1072" s="25" t="s">
        <v>1379</v>
      </c>
      <c r="B1072" s="25" t="s">
        <v>855</v>
      </c>
      <c r="C1072" s="29" t="s">
        <v>334</v>
      </c>
      <c r="D1072" s="29" t="n">
        <v>16</v>
      </c>
      <c r="E1072" s="31" t="n">
        <v>29520</v>
      </c>
      <c r="F1072" s="31" t="n">
        <v>4428</v>
      </c>
      <c r="G1072" s="37" t="n">
        <v>0.15</v>
      </c>
    </row>
    <row r="1073" customFormat="false" ht="15" hidden="false" customHeight="false" outlineLevel="0" collapsed="false">
      <c r="A1073" s="20" t="s">
        <v>1380</v>
      </c>
      <c r="B1073" s="20" t="s">
        <v>194</v>
      </c>
      <c r="C1073" s="9" t="s">
        <v>195</v>
      </c>
      <c r="D1073" s="9" t="n">
        <v>3</v>
      </c>
      <c r="E1073" s="30" t="n">
        <v>29507</v>
      </c>
      <c r="F1073" s="30" t="n">
        <v>2852</v>
      </c>
      <c r="G1073" s="35" t="n">
        <v>0.0966550310095909</v>
      </c>
    </row>
    <row r="1074" customFormat="false" ht="15" hidden="false" customHeight="false" outlineLevel="0" collapsed="false">
      <c r="A1074" s="25" t="s">
        <v>1381</v>
      </c>
      <c r="B1074" s="29" t="s">
        <v>253</v>
      </c>
      <c r="C1074" s="29" t="s">
        <v>254</v>
      </c>
      <c r="D1074" s="29" t="n">
        <v>10</v>
      </c>
      <c r="E1074" s="31" t="n">
        <v>29500</v>
      </c>
      <c r="F1074" s="31" t="n">
        <v>26850</v>
      </c>
      <c r="G1074" s="37" t="n">
        <v>0.910169491525424</v>
      </c>
    </row>
    <row r="1075" customFormat="false" ht="15" hidden="false" customHeight="false" outlineLevel="0" collapsed="false">
      <c r="A1075" s="20" t="s">
        <v>1382</v>
      </c>
      <c r="B1075" s="9" t="s">
        <v>253</v>
      </c>
      <c r="C1075" s="9" t="s">
        <v>428</v>
      </c>
      <c r="D1075" s="9" t="n">
        <v>5</v>
      </c>
      <c r="E1075" s="30" t="n">
        <v>29450</v>
      </c>
      <c r="F1075" s="30" t="n">
        <v>4875</v>
      </c>
      <c r="G1075" s="35" t="n">
        <v>0.16553480475382</v>
      </c>
    </row>
    <row r="1076" customFormat="false" ht="15" hidden="false" customHeight="false" outlineLevel="0" collapsed="false">
      <c r="A1076" s="25" t="s">
        <v>1383</v>
      </c>
      <c r="B1076" s="25" t="s">
        <v>194</v>
      </c>
      <c r="C1076" s="29" t="s">
        <v>203</v>
      </c>
      <c r="D1076" s="29" t="n">
        <v>18</v>
      </c>
      <c r="E1076" s="31" t="n">
        <v>29430</v>
      </c>
      <c r="F1076" s="31" t="n">
        <v>9504</v>
      </c>
      <c r="G1076" s="37" t="n">
        <v>0.322935779816514</v>
      </c>
    </row>
    <row r="1077" customFormat="false" ht="15" hidden="false" customHeight="false" outlineLevel="0" collapsed="false">
      <c r="A1077" s="20" t="s">
        <v>1384</v>
      </c>
      <c r="B1077" s="20" t="s">
        <v>194</v>
      </c>
      <c r="C1077" s="9" t="s">
        <v>1355</v>
      </c>
      <c r="D1077" s="9" t="n">
        <v>30</v>
      </c>
      <c r="E1077" s="30" t="n">
        <v>29400</v>
      </c>
      <c r="F1077" s="30" t="n">
        <v>4410</v>
      </c>
      <c r="G1077" s="35" t="n">
        <v>0.15</v>
      </c>
    </row>
    <row r="1078" customFormat="false" ht="15" hidden="false" customHeight="false" outlineLevel="0" collapsed="false">
      <c r="A1078" s="25" t="s">
        <v>1385</v>
      </c>
      <c r="B1078" s="25" t="s">
        <v>194</v>
      </c>
      <c r="C1078" s="29" t="s">
        <v>209</v>
      </c>
      <c r="D1078" s="29" t="n">
        <v>8</v>
      </c>
      <c r="E1078" s="31" t="n">
        <v>29400</v>
      </c>
      <c r="F1078" s="31" t="n">
        <v>2472</v>
      </c>
      <c r="G1078" s="37" t="n">
        <v>0.0840816326530612</v>
      </c>
    </row>
    <row r="1079" customFormat="false" ht="15" hidden="false" customHeight="false" outlineLevel="0" collapsed="false">
      <c r="A1079" s="20" t="s">
        <v>1386</v>
      </c>
      <c r="B1079" s="20" t="s">
        <v>194</v>
      </c>
      <c r="C1079" s="9" t="s">
        <v>223</v>
      </c>
      <c r="D1079" s="9" t="n">
        <v>15</v>
      </c>
      <c r="E1079" s="30" t="n">
        <v>29385</v>
      </c>
      <c r="F1079" s="30" t="n">
        <v>16215</v>
      </c>
      <c r="G1079" s="35" t="n">
        <v>0.551812149055641</v>
      </c>
    </row>
    <row r="1080" customFormat="false" ht="15" hidden="false" customHeight="false" outlineLevel="0" collapsed="false">
      <c r="A1080" s="25" t="s">
        <v>1387</v>
      </c>
      <c r="B1080" s="25" t="s">
        <v>194</v>
      </c>
      <c r="C1080" s="29" t="s">
        <v>203</v>
      </c>
      <c r="D1080" s="29" t="n">
        <v>41</v>
      </c>
      <c r="E1080" s="31" t="n">
        <v>29151</v>
      </c>
      <c r="F1080" s="31" t="n">
        <v>20951</v>
      </c>
      <c r="G1080" s="37" t="n">
        <v>0.718706047819972</v>
      </c>
    </row>
    <row r="1081" customFormat="false" ht="15" hidden="false" customHeight="false" outlineLevel="0" collapsed="false">
      <c r="A1081" s="20" t="s">
        <v>1388</v>
      </c>
      <c r="B1081" s="20" t="s">
        <v>194</v>
      </c>
      <c r="C1081" s="9" t="s">
        <v>203</v>
      </c>
      <c r="D1081" s="9" t="n">
        <v>10</v>
      </c>
      <c r="E1081" s="30" t="n">
        <v>29070</v>
      </c>
      <c r="F1081" s="30" t="n">
        <v>4360</v>
      </c>
      <c r="G1081" s="35" t="n">
        <v>0.149982800137599</v>
      </c>
    </row>
    <row r="1082" customFormat="false" ht="15" hidden="false" customHeight="false" outlineLevel="0" collapsed="false">
      <c r="A1082" s="25" t="s">
        <v>1389</v>
      </c>
      <c r="B1082" s="25" t="s">
        <v>194</v>
      </c>
      <c r="C1082" s="29" t="s">
        <v>1390</v>
      </c>
      <c r="D1082" s="29" t="n">
        <v>3</v>
      </c>
      <c r="E1082" s="31" t="n">
        <v>29004</v>
      </c>
      <c r="F1082" s="31" t="n">
        <v>7728</v>
      </c>
      <c r="G1082" s="37" t="n">
        <v>0.266446007447249</v>
      </c>
    </row>
    <row r="1083" customFormat="false" ht="15" hidden="false" customHeight="false" outlineLevel="0" collapsed="false">
      <c r="A1083" s="20" t="s">
        <v>1391</v>
      </c>
      <c r="B1083" s="20" t="s">
        <v>194</v>
      </c>
      <c r="C1083" s="9" t="s">
        <v>1392</v>
      </c>
      <c r="D1083" s="9" t="n">
        <v>10</v>
      </c>
      <c r="E1083" s="30" t="n">
        <v>29000</v>
      </c>
      <c r="F1083" s="30" t="n">
        <v>-1740</v>
      </c>
      <c r="G1083" s="35" t="n">
        <v>-0.06</v>
      </c>
    </row>
    <row r="1084" customFormat="false" ht="15" hidden="false" customHeight="false" outlineLevel="0" collapsed="false">
      <c r="A1084" s="25" t="s">
        <v>1393</v>
      </c>
      <c r="B1084" s="29" t="s">
        <v>253</v>
      </c>
      <c r="C1084" s="29" t="s">
        <v>254</v>
      </c>
      <c r="D1084" s="29" t="n">
        <v>35</v>
      </c>
      <c r="E1084" s="31" t="n">
        <v>28980</v>
      </c>
      <c r="F1084" s="31" t="n">
        <v>18690</v>
      </c>
      <c r="G1084" s="37" t="n">
        <v>0.644927536231884</v>
      </c>
    </row>
    <row r="1085" customFormat="false" ht="15" hidden="false" customHeight="false" outlineLevel="0" collapsed="false">
      <c r="A1085" s="20" t="s">
        <v>1394</v>
      </c>
      <c r="B1085" s="20" t="s">
        <v>194</v>
      </c>
      <c r="C1085" s="9" t="s">
        <v>223</v>
      </c>
      <c r="D1085" s="9" t="n">
        <v>2</v>
      </c>
      <c r="E1085" s="30" t="n">
        <v>28968</v>
      </c>
      <c r="F1085" s="30" t="n">
        <v>4346</v>
      </c>
      <c r="G1085" s="35" t="n">
        <v>0.150027616680475</v>
      </c>
    </row>
    <row r="1086" customFormat="false" ht="15" hidden="false" customHeight="false" outlineLevel="0" collapsed="false">
      <c r="A1086" s="25" t="s">
        <v>1395</v>
      </c>
      <c r="B1086" s="25" t="s">
        <v>194</v>
      </c>
      <c r="C1086" s="29" t="s">
        <v>195</v>
      </c>
      <c r="D1086" s="29" t="n">
        <v>1</v>
      </c>
      <c r="E1086" s="31" t="n">
        <v>28965</v>
      </c>
      <c r="F1086" s="31" t="n">
        <v>1465</v>
      </c>
      <c r="G1086" s="37" t="n">
        <v>0.0505782841360262</v>
      </c>
    </row>
    <row r="1087" customFormat="false" ht="15" hidden="false" customHeight="false" outlineLevel="0" collapsed="false">
      <c r="A1087" s="20" t="s">
        <v>1396</v>
      </c>
      <c r="B1087" s="9" t="s">
        <v>253</v>
      </c>
      <c r="C1087" s="9" t="s">
        <v>223</v>
      </c>
      <c r="D1087" s="9" t="n">
        <v>35</v>
      </c>
      <c r="E1087" s="30" t="n">
        <v>28910</v>
      </c>
      <c r="F1087" s="30" t="n">
        <v>6650</v>
      </c>
      <c r="G1087" s="35" t="n">
        <v>0.230024213075061</v>
      </c>
    </row>
    <row r="1088" customFormat="false" ht="15" hidden="false" customHeight="false" outlineLevel="0" collapsed="false">
      <c r="A1088" s="25" t="s">
        <v>1397</v>
      </c>
      <c r="B1088" s="25" t="s">
        <v>194</v>
      </c>
      <c r="C1088" s="29" t="s">
        <v>355</v>
      </c>
      <c r="D1088" s="29" t="n">
        <v>1</v>
      </c>
      <c r="E1088" s="31" t="n">
        <v>28892</v>
      </c>
      <c r="F1088" s="31" t="n">
        <v>982</v>
      </c>
      <c r="G1088" s="37" t="n">
        <v>0.0339886473764363</v>
      </c>
    </row>
    <row r="1089" customFormat="false" ht="15" hidden="false" customHeight="false" outlineLevel="0" collapsed="false">
      <c r="A1089" s="20" t="s">
        <v>1398</v>
      </c>
      <c r="B1089" s="20" t="s">
        <v>194</v>
      </c>
      <c r="C1089" s="9" t="s">
        <v>223</v>
      </c>
      <c r="D1089" s="9" t="n">
        <v>3</v>
      </c>
      <c r="E1089" s="30" t="n">
        <v>28809</v>
      </c>
      <c r="F1089" s="30" t="n">
        <v>4353</v>
      </c>
      <c r="G1089" s="35" t="n">
        <v>0.151098615016141</v>
      </c>
    </row>
    <row r="1090" customFormat="false" ht="15" hidden="false" customHeight="false" outlineLevel="0" collapsed="false">
      <c r="A1090" s="25" t="s">
        <v>1399</v>
      </c>
      <c r="B1090" s="29" t="s">
        <v>253</v>
      </c>
      <c r="C1090" s="29" t="s">
        <v>254</v>
      </c>
      <c r="D1090" s="29" t="n">
        <v>10</v>
      </c>
      <c r="E1090" s="31" t="n">
        <v>28620</v>
      </c>
      <c r="F1090" s="31" t="n">
        <v>19880</v>
      </c>
      <c r="G1090" s="37" t="n">
        <v>0.694619147449336</v>
      </c>
    </row>
    <row r="1091" customFormat="false" ht="15" hidden="false" customHeight="false" outlineLevel="0" collapsed="false">
      <c r="A1091" s="20" t="s">
        <v>1400</v>
      </c>
      <c r="B1091" s="20" t="s">
        <v>194</v>
      </c>
      <c r="C1091" s="9" t="s">
        <v>195</v>
      </c>
      <c r="D1091" s="9" t="n">
        <v>3</v>
      </c>
      <c r="E1091" s="30" t="n">
        <v>28608</v>
      </c>
      <c r="F1091" s="30" t="n">
        <v>6468</v>
      </c>
      <c r="G1091" s="35" t="n">
        <v>0.226090604026846</v>
      </c>
    </row>
    <row r="1092" customFormat="false" ht="15" hidden="false" customHeight="false" outlineLevel="0" collapsed="false">
      <c r="A1092" s="25" t="s">
        <v>1401</v>
      </c>
      <c r="B1092" s="29" t="s">
        <v>281</v>
      </c>
      <c r="C1092" s="25" t="s">
        <v>373</v>
      </c>
      <c r="D1092" s="29" t="n">
        <v>2</v>
      </c>
      <c r="E1092" s="31" t="n">
        <v>28602</v>
      </c>
      <c r="F1092" s="31" t="n">
        <v>7602</v>
      </c>
      <c r="G1092" s="37" t="n">
        <v>0.265785609397944</v>
      </c>
    </row>
    <row r="1093" customFormat="false" ht="15" hidden="false" customHeight="false" outlineLevel="0" collapsed="false">
      <c r="A1093" s="20" t="s">
        <v>1402</v>
      </c>
      <c r="B1093" s="20" t="s">
        <v>194</v>
      </c>
      <c r="C1093" s="9" t="s">
        <v>203</v>
      </c>
      <c r="D1093" s="9" t="n">
        <v>2</v>
      </c>
      <c r="E1093" s="30" t="n">
        <v>28470</v>
      </c>
      <c r="F1093" s="30" t="n">
        <v>4270</v>
      </c>
      <c r="G1093" s="35" t="n">
        <v>0.149982437653671</v>
      </c>
    </row>
    <row r="1094" customFormat="false" ht="15" hidden="false" customHeight="false" outlineLevel="0" collapsed="false">
      <c r="A1094" s="25" t="s">
        <v>1403</v>
      </c>
      <c r="B1094" s="25" t="s">
        <v>240</v>
      </c>
      <c r="C1094" s="29" t="s">
        <v>368</v>
      </c>
      <c r="D1094" s="29" t="n">
        <v>2</v>
      </c>
      <c r="E1094" s="31" t="n">
        <v>28436</v>
      </c>
      <c r="F1094" s="31" t="n">
        <v>4266</v>
      </c>
      <c r="G1094" s="37" t="n">
        <v>0.150021100014067</v>
      </c>
    </row>
    <row r="1095" customFormat="false" ht="15" hidden="false" customHeight="false" outlineLevel="0" collapsed="false">
      <c r="A1095" s="20" t="s">
        <v>1404</v>
      </c>
      <c r="B1095" s="20" t="s">
        <v>194</v>
      </c>
      <c r="C1095" s="9" t="s">
        <v>355</v>
      </c>
      <c r="D1095" s="9" t="n">
        <v>1</v>
      </c>
      <c r="E1095" s="30" t="n">
        <v>28433</v>
      </c>
      <c r="F1095" s="30" t="n">
        <v>10690</v>
      </c>
      <c r="G1095" s="35" t="n">
        <v>0.375971582316323</v>
      </c>
    </row>
    <row r="1096" customFormat="false" ht="15" hidden="false" customHeight="false" outlineLevel="0" collapsed="false">
      <c r="A1096" s="25" t="s">
        <v>1405</v>
      </c>
      <c r="B1096" s="29" t="s">
        <v>253</v>
      </c>
      <c r="C1096" s="29" t="s">
        <v>223</v>
      </c>
      <c r="D1096" s="29" t="n">
        <v>4</v>
      </c>
      <c r="E1096" s="31" t="n">
        <v>28424</v>
      </c>
      <c r="F1096" s="31" t="n">
        <v>11016</v>
      </c>
      <c r="G1096" s="37" t="n">
        <v>0.38755980861244</v>
      </c>
    </row>
    <row r="1097" customFormat="false" ht="15" hidden="false" customHeight="false" outlineLevel="0" collapsed="false">
      <c r="A1097" s="20" t="s">
        <v>1406</v>
      </c>
      <c r="B1097" s="20" t="s">
        <v>194</v>
      </c>
      <c r="C1097" s="9" t="s">
        <v>217</v>
      </c>
      <c r="D1097" s="9" t="n">
        <v>2</v>
      </c>
      <c r="E1097" s="30" t="n">
        <v>28384</v>
      </c>
      <c r="F1097" s="30" t="n">
        <v>3282</v>
      </c>
      <c r="G1097" s="35" t="n">
        <v>0.115628523111612</v>
      </c>
    </row>
    <row r="1098" customFormat="false" ht="15" hidden="false" customHeight="false" outlineLevel="0" collapsed="false">
      <c r="A1098" s="25" t="s">
        <v>1407</v>
      </c>
      <c r="B1098" s="25" t="s">
        <v>200</v>
      </c>
      <c r="C1098" s="29" t="s">
        <v>428</v>
      </c>
      <c r="D1098" s="29" t="n">
        <v>50</v>
      </c>
      <c r="E1098" s="31" t="n">
        <v>28300</v>
      </c>
      <c r="F1098" s="31" t="n">
        <v>9850</v>
      </c>
      <c r="G1098" s="37" t="n">
        <v>0.348056537102474</v>
      </c>
    </row>
    <row r="1099" customFormat="false" ht="15" hidden="false" customHeight="false" outlineLevel="0" collapsed="false">
      <c r="A1099" s="20" t="s">
        <v>1408</v>
      </c>
      <c r="B1099" s="20" t="s">
        <v>240</v>
      </c>
      <c r="C1099" s="9" t="s">
        <v>368</v>
      </c>
      <c r="D1099" s="9" t="n">
        <v>14</v>
      </c>
      <c r="E1099" s="30" t="n">
        <v>28266</v>
      </c>
      <c r="F1099" s="30" t="n">
        <v>5516</v>
      </c>
      <c r="G1099" s="35" t="n">
        <v>0.195146111936602</v>
      </c>
    </row>
    <row r="1100" customFormat="false" ht="15" hidden="false" customHeight="false" outlineLevel="0" collapsed="false">
      <c r="A1100" s="25" t="s">
        <v>1409</v>
      </c>
      <c r="B1100" s="29" t="s">
        <v>253</v>
      </c>
      <c r="C1100" s="29" t="s">
        <v>254</v>
      </c>
      <c r="D1100" s="29" t="n">
        <v>10</v>
      </c>
      <c r="E1100" s="31" t="n">
        <v>28260</v>
      </c>
      <c r="F1100" s="31" t="n">
        <v>20560</v>
      </c>
      <c r="G1100" s="37" t="n">
        <v>0.727530077848549</v>
      </c>
    </row>
    <row r="1101" customFormat="false" ht="15" hidden="false" customHeight="false" outlineLevel="0" collapsed="false">
      <c r="A1101" s="20" t="s">
        <v>1410</v>
      </c>
      <c r="B1101" s="20" t="s">
        <v>200</v>
      </c>
      <c r="C1101" s="9" t="s">
        <v>223</v>
      </c>
      <c r="D1101" s="9" t="n">
        <v>25</v>
      </c>
      <c r="E1101" s="30" t="n">
        <v>28175</v>
      </c>
      <c r="F1101" s="30" t="n">
        <v>25250</v>
      </c>
      <c r="G1101" s="35" t="n">
        <v>0.896184560780834</v>
      </c>
    </row>
    <row r="1102" customFormat="false" ht="15" hidden="false" customHeight="false" outlineLevel="0" collapsed="false">
      <c r="A1102" s="25" t="s">
        <v>1411</v>
      </c>
      <c r="B1102" s="29" t="s">
        <v>253</v>
      </c>
      <c r="C1102" s="29" t="s">
        <v>254</v>
      </c>
      <c r="D1102" s="29" t="n">
        <v>10</v>
      </c>
      <c r="E1102" s="31" t="n">
        <v>28070</v>
      </c>
      <c r="F1102" s="31" t="n">
        <v>19340</v>
      </c>
      <c r="G1102" s="37" t="n">
        <v>0.688991806198789</v>
      </c>
    </row>
    <row r="1103" customFormat="false" ht="15" hidden="false" customHeight="false" outlineLevel="0" collapsed="false">
      <c r="A1103" s="20" t="s">
        <v>1412</v>
      </c>
      <c r="B1103" s="9" t="s">
        <v>253</v>
      </c>
      <c r="C1103" s="9" t="s">
        <v>254</v>
      </c>
      <c r="D1103" s="9" t="n">
        <v>8</v>
      </c>
      <c r="E1103" s="30" t="n">
        <v>28016</v>
      </c>
      <c r="F1103" s="30" t="n">
        <v>544</v>
      </c>
      <c r="G1103" s="35" t="n">
        <v>0.0194174757281553</v>
      </c>
    </row>
    <row r="1104" customFormat="false" ht="15" hidden="false" customHeight="false" outlineLevel="0" collapsed="false">
      <c r="A1104" s="25" t="s">
        <v>1413</v>
      </c>
      <c r="B1104" s="29" t="s">
        <v>253</v>
      </c>
      <c r="C1104" s="29" t="s">
        <v>254</v>
      </c>
      <c r="D1104" s="29" t="n">
        <v>30</v>
      </c>
      <c r="E1104" s="31" t="n">
        <v>27780</v>
      </c>
      <c r="F1104" s="31" t="n">
        <v>14610</v>
      </c>
      <c r="G1104" s="37" t="n">
        <v>0.525917926565875</v>
      </c>
    </row>
    <row r="1105" customFormat="false" ht="15" hidden="false" customHeight="false" outlineLevel="0" collapsed="false">
      <c r="A1105" s="20" t="s">
        <v>1414</v>
      </c>
      <c r="B1105" s="20" t="s">
        <v>194</v>
      </c>
      <c r="C1105" s="9" t="s">
        <v>203</v>
      </c>
      <c r="D1105" s="9" t="n">
        <v>18</v>
      </c>
      <c r="E1105" s="30" t="n">
        <v>27774</v>
      </c>
      <c r="F1105" s="30" t="n">
        <v>6858</v>
      </c>
      <c r="G1105" s="35" t="n">
        <v>0.246921581335062</v>
      </c>
    </row>
    <row r="1106" customFormat="false" ht="15" hidden="false" customHeight="false" outlineLevel="0" collapsed="false">
      <c r="A1106" s="25" t="s">
        <v>1415</v>
      </c>
      <c r="B1106" s="25" t="s">
        <v>194</v>
      </c>
      <c r="C1106" s="29" t="s">
        <v>334</v>
      </c>
      <c r="D1106" s="29" t="n">
        <v>57</v>
      </c>
      <c r="E1106" s="31" t="n">
        <v>27645</v>
      </c>
      <c r="F1106" s="31" t="n">
        <v>-3819</v>
      </c>
      <c r="G1106" s="37" t="n">
        <v>-0.138144329896907</v>
      </c>
    </row>
    <row r="1107" customFormat="false" ht="15" hidden="false" customHeight="false" outlineLevel="0" collapsed="false">
      <c r="A1107" s="20" t="s">
        <v>1416</v>
      </c>
      <c r="B1107" s="20" t="s">
        <v>200</v>
      </c>
      <c r="C1107" s="9" t="s">
        <v>223</v>
      </c>
      <c r="D1107" s="9" t="n">
        <v>8</v>
      </c>
      <c r="E1107" s="30" t="n">
        <v>27632</v>
      </c>
      <c r="F1107" s="30" t="n">
        <v>3928</v>
      </c>
      <c r="G1107" s="35" t="n">
        <v>0.142154024319629</v>
      </c>
    </row>
    <row r="1108" customFormat="false" ht="15" hidden="false" customHeight="false" outlineLevel="0" collapsed="false">
      <c r="A1108" s="25" t="s">
        <v>1417</v>
      </c>
      <c r="B1108" s="25" t="s">
        <v>194</v>
      </c>
      <c r="C1108" s="29" t="s">
        <v>479</v>
      </c>
      <c r="D1108" s="29" t="n">
        <v>10</v>
      </c>
      <c r="E1108" s="31" t="n">
        <v>27630</v>
      </c>
      <c r="F1108" s="31" t="n">
        <v>21550</v>
      </c>
      <c r="G1108" s="37" t="n">
        <v>0.77994933043793</v>
      </c>
    </row>
    <row r="1109" customFormat="false" ht="15" hidden="false" customHeight="false" outlineLevel="0" collapsed="false">
      <c r="A1109" s="20" t="s">
        <v>1418</v>
      </c>
      <c r="B1109" s="20" t="s">
        <v>194</v>
      </c>
      <c r="C1109" s="9" t="s">
        <v>197</v>
      </c>
      <c r="D1109" s="9" t="n">
        <v>3</v>
      </c>
      <c r="E1109" s="30" t="n">
        <v>27624</v>
      </c>
      <c r="F1109" s="30" t="n">
        <v>14946</v>
      </c>
      <c r="G1109" s="35" t="n">
        <v>0.54105125977411</v>
      </c>
    </row>
    <row r="1110" customFormat="false" ht="15" hidden="false" customHeight="false" outlineLevel="0" collapsed="false">
      <c r="A1110" s="25" t="s">
        <v>1419</v>
      </c>
      <c r="B1110" s="29" t="s">
        <v>253</v>
      </c>
      <c r="C1110" s="29" t="s">
        <v>622</v>
      </c>
      <c r="D1110" s="29" t="n">
        <v>6</v>
      </c>
      <c r="E1110" s="31" t="n">
        <v>27546</v>
      </c>
      <c r="F1110" s="31" t="n">
        <v>8310</v>
      </c>
      <c r="G1110" s="37" t="n">
        <v>0.301677194511</v>
      </c>
    </row>
    <row r="1111" customFormat="false" ht="15" hidden="false" customHeight="false" outlineLevel="0" collapsed="false">
      <c r="A1111" s="20" t="s">
        <v>1420</v>
      </c>
      <c r="B1111" s="20" t="s">
        <v>194</v>
      </c>
      <c r="C1111" s="9" t="s">
        <v>223</v>
      </c>
      <c r="D1111" s="9" t="n">
        <v>3</v>
      </c>
      <c r="E1111" s="30" t="n">
        <v>27513</v>
      </c>
      <c r="F1111" s="30" t="n">
        <v>7038</v>
      </c>
      <c r="G1111" s="35" t="n">
        <v>0.255806346090939</v>
      </c>
    </row>
    <row r="1112" customFormat="false" ht="15" hidden="false" customHeight="false" outlineLevel="0" collapsed="false">
      <c r="A1112" s="25" t="s">
        <v>1421</v>
      </c>
      <c r="B1112" s="25" t="s">
        <v>194</v>
      </c>
      <c r="C1112" s="29" t="s">
        <v>203</v>
      </c>
      <c r="D1112" s="29" t="n">
        <v>70</v>
      </c>
      <c r="E1112" s="31" t="n">
        <v>27510</v>
      </c>
      <c r="F1112" s="31" t="n">
        <v>9310</v>
      </c>
      <c r="G1112" s="37" t="n">
        <v>0.338422391857506</v>
      </c>
    </row>
    <row r="1113" customFormat="false" ht="15" hidden="false" customHeight="false" outlineLevel="0" collapsed="false">
      <c r="A1113" s="20" t="s">
        <v>1422</v>
      </c>
      <c r="B1113" s="20" t="s">
        <v>194</v>
      </c>
      <c r="C1113" s="9" t="s">
        <v>206</v>
      </c>
      <c r="D1113" s="9" t="n">
        <v>28</v>
      </c>
      <c r="E1113" s="30" t="n">
        <v>27496</v>
      </c>
      <c r="F1113" s="30" t="n">
        <v>3472</v>
      </c>
      <c r="G1113" s="35" t="n">
        <v>0.126272912423625</v>
      </c>
    </row>
    <row r="1114" customFormat="false" ht="15" hidden="false" customHeight="false" outlineLevel="0" collapsed="false">
      <c r="A1114" s="25" t="s">
        <v>1423</v>
      </c>
      <c r="B1114" s="25" t="s">
        <v>240</v>
      </c>
      <c r="C1114" s="29" t="s">
        <v>634</v>
      </c>
      <c r="D1114" s="29" t="n">
        <v>10</v>
      </c>
      <c r="E1114" s="31" t="n">
        <v>27290</v>
      </c>
      <c r="F1114" s="31" t="n">
        <v>12070</v>
      </c>
      <c r="G1114" s="37" t="n">
        <v>0.442286551850495</v>
      </c>
    </row>
    <row r="1115" customFormat="false" ht="15" hidden="false" customHeight="false" outlineLevel="0" collapsed="false">
      <c r="A1115" s="20" t="s">
        <v>1424</v>
      </c>
      <c r="B1115" s="20" t="s">
        <v>194</v>
      </c>
      <c r="C1115" s="9" t="s">
        <v>386</v>
      </c>
      <c r="D1115" s="9" t="n">
        <v>2</v>
      </c>
      <c r="E1115" s="30" t="n">
        <v>27214</v>
      </c>
      <c r="F1115" s="30" t="n">
        <v>8894</v>
      </c>
      <c r="G1115" s="35" t="n">
        <v>0.326817079444404</v>
      </c>
    </row>
    <row r="1116" customFormat="false" ht="15" hidden="false" customHeight="false" outlineLevel="0" collapsed="false">
      <c r="A1116" s="25" t="s">
        <v>1425</v>
      </c>
      <c r="B1116" s="25" t="s">
        <v>200</v>
      </c>
      <c r="C1116" s="29" t="s">
        <v>223</v>
      </c>
      <c r="D1116" s="29" t="n">
        <v>29</v>
      </c>
      <c r="E1116" s="31" t="n">
        <v>27202</v>
      </c>
      <c r="F1116" s="31" t="n">
        <v>9715</v>
      </c>
      <c r="G1116" s="37" t="n">
        <v>0.357142857142857</v>
      </c>
    </row>
    <row r="1117" customFormat="false" ht="15" hidden="false" customHeight="false" outlineLevel="0" collapsed="false">
      <c r="A1117" s="20" t="s">
        <v>1426</v>
      </c>
      <c r="B1117" s="20" t="s">
        <v>194</v>
      </c>
      <c r="C1117" s="9" t="s">
        <v>203</v>
      </c>
      <c r="D1117" s="9" t="n">
        <v>7</v>
      </c>
      <c r="E1117" s="30" t="n">
        <v>27153</v>
      </c>
      <c r="F1117" s="30" t="n">
        <v>17353</v>
      </c>
      <c r="G1117" s="35" t="n">
        <v>0.639082237690126</v>
      </c>
    </row>
    <row r="1118" customFormat="false" ht="15" hidden="false" customHeight="false" outlineLevel="0" collapsed="false">
      <c r="A1118" s="25" t="s">
        <v>1427</v>
      </c>
      <c r="B1118" s="29" t="s">
        <v>253</v>
      </c>
      <c r="C1118" s="29" t="s">
        <v>254</v>
      </c>
      <c r="D1118" s="29" t="n">
        <v>4</v>
      </c>
      <c r="E1118" s="31" t="n">
        <v>27100</v>
      </c>
      <c r="F1118" s="31" t="n">
        <v>24288</v>
      </c>
      <c r="G1118" s="37" t="n">
        <v>0.896236162361624</v>
      </c>
    </row>
    <row r="1119" customFormat="false" ht="15" hidden="false" customHeight="false" outlineLevel="0" collapsed="false">
      <c r="A1119" s="20" t="s">
        <v>1428</v>
      </c>
      <c r="B1119" s="20" t="s">
        <v>194</v>
      </c>
      <c r="C1119" s="9" t="s">
        <v>203</v>
      </c>
      <c r="D1119" s="9" t="n">
        <v>16</v>
      </c>
      <c r="E1119" s="30" t="n">
        <v>27056</v>
      </c>
      <c r="F1119" s="30" t="n">
        <v>19056</v>
      </c>
      <c r="G1119" s="35" t="n">
        <v>0.704316972205795</v>
      </c>
    </row>
    <row r="1120" customFormat="false" ht="15" hidden="false" customHeight="false" outlineLevel="0" collapsed="false">
      <c r="A1120" s="25" t="s">
        <v>1429</v>
      </c>
      <c r="B1120" s="25" t="s">
        <v>194</v>
      </c>
      <c r="C1120" s="29" t="s">
        <v>217</v>
      </c>
      <c r="D1120" s="29" t="n">
        <v>20</v>
      </c>
      <c r="E1120" s="31" t="n">
        <v>26820</v>
      </c>
      <c r="F1120" s="31" t="n">
        <v>8460</v>
      </c>
      <c r="G1120" s="37" t="n">
        <v>0.315436241610738</v>
      </c>
    </row>
    <row r="1121" customFormat="false" ht="15" hidden="false" customHeight="false" outlineLevel="0" collapsed="false">
      <c r="A1121" s="20" t="s">
        <v>1430</v>
      </c>
      <c r="B1121" s="20" t="s">
        <v>194</v>
      </c>
      <c r="C1121" s="9" t="s">
        <v>203</v>
      </c>
      <c r="D1121" s="9" t="n">
        <v>58</v>
      </c>
      <c r="E1121" s="30" t="n">
        <v>26738</v>
      </c>
      <c r="F1121" s="30" t="n">
        <v>13166</v>
      </c>
      <c r="G1121" s="35" t="n">
        <v>0.492407809110629</v>
      </c>
    </row>
    <row r="1122" customFormat="false" ht="15" hidden="false" customHeight="false" outlineLevel="0" collapsed="false">
      <c r="A1122" s="25" t="s">
        <v>1431</v>
      </c>
      <c r="B1122" s="25" t="s">
        <v>194</v>
      </c>
      <c r="C1122" s="29" t="s">
        <v>485</v>
      </c>
      <c r="D1122" s="29" t="n">
        <v>1</v>
      </c>
      <c r="E1122" s="31" t="n">
        <v>26658</v>
      </c>
      <c r="F1122" s="31" t="n">
        <v>7853</v>
      </c>
      <c r="G1122" s="37" t="n">
        <v>0.294583239552855</v>
      </c>
    </row>
    <row r="1123" customFormat="false" ht="15" hidden="false" customHeight="false" outlineLevel="0" collapsed="false">
      <c r="A1123" s="20" t="s">
        <v>1432</v>
      </c>
      <c r="B1123" s="20" t="s">
        <v>1433</v>
      </c>
      <c r="C1123" s="9" t="s">
        <v>334</v>
      </c>
      <c r="D1123" s="9" t="n">
        <v>16</v>
      </c>
      <c r="E1123" s="30" t="n">
        <v>26640</v>
      </c>
      <c r="F1123" s="30" t="n">
        <v>3996</v>
      </c>
      <c r="G1123" s="35" t="n">
        <v>0.15</v>
      </c>
    </row>
    <row r="1124" customFormat="false" ht="15" hidden="false" customHeight="false" outlineLevel="0" collapsed="false">
      <c r="A1124" s="25" t="s">
        <v>1434</v>
      </c>
      <c r="B1124" s="25" t="s">
        <v>194</v>
      </c>
      <c r="C1124" s="29" t="s">
        <v>380</v>
      </c>
      <c r="D1124" s="29" t="n">
        <v>7</v>
      </c>
      <c r="E1124" s="31" t="n">
        <v>26600</v>
      </c>
      <c r="F1124" s="31" t="n">
        <v>7217</v>
      </c>
      <c r="G1124" s="37" t="n">
        <v>0.271315789473684</v>
      </c>
    </row>
    <row r="1125" customFormat="false" ht="15" hidden="false" customHeight="false" outlineLevel="0" collapsed="false">
      <c r="A1125" s="20" t="s">
        <v>1435</v>
      </c>
      <c r="B1125" s="20" t="s">
        <v>200</v>
      </c>
      <c r="C1125" s="9" t="s">
        <v>428</v>
      </c>
      <c r="D1125" s="9" t="n">
        <v>6</v>
      </c>
      <c r="E1125" s="30" t="n">
        <v>26538</v>
      </c>
      <c r="F1125" s="30" t="n">
        <v>3822</v>
      </c>
      <c r="G1125" s="35" t="n">
        <v>0.144019895998191</v>
      </c>
    </row>
    <row r="1126" customFormat="false" ht="15" hidden="false" customHeight="false" outlineLevel="0" collapsed="false">
      <c r="A1126" s="25" t="s">
        <v>1436</v>
      </c>
      <c r="B1126" s="29" t="s">
        <v>281</v>
      </c>
      <c r="C1126" s="29" t="s">
        <v>197</v>
      </c>
      <c r="D1126" s="29" t="n">
        <v>4</v>
      </c>
      <c r="E1126" s="31" t="n">
        <v>26520</v>
      </c>
      <c r="F1126" s="31" t="n">
        <v>15836</v>
      </c>
      <c r="G1126" s="37" t="n">
        <v>0.597134238310709</v>
      </c>
    </row>
    <row r="1127" customFormat="false" ht="15" hidden="false" customHeight="false" outlineLevel="0" collapsed="false">
      <c r="A1127" s="20" t="s">
        <v>1437</v>
      </c>
      <c r="B1127" s="20" t="s">
        <v>200</v>
      </c>
      <c r="C1127" s="9" t="s">
        <v>430</v>
      </c>
      <c r="D1127" s="9" t="n">
        <v>2</v>
      </c>
      <c r="E1127" s="30" t="n">
        <v>26398</v>
      </c>
      <c r="F1127" s="30" t="n">
        <v>16288</v>
      </c>
      <c r="G1127" s="35" t="n">
        <v>0.617016440639442</v>
      </c>
    </row>
    <row r="1128" customFormat="false" ht="15" hidden="false" customHeight="false" outlineLevel="0" collapsed="false">
      <c r="A1128" s="25" t="s">
        <v>1438</v>
      </c>
      <c r="B1128" s="29" t="s">
        <v>1439</v>
      </c>
      <c r="C1128" s="29" t="s">
        <v>223</v>
      </c>
      <c r="D1128" s="29" t="n">
        <v>4</v>
      </c>
      <c r="E1128" s="31" t="n">
        <v>26372</v>
      </c>
      <c r="F1128" s="31" t="n">
        <v>3956</v>
      </c>
      <c r="G1128" s="37" t="n">
        <v>0.150007583801001</v>
      </c>
    </row>
    <row r="1129" customFormat="false" ht="15" hidden="false" customHeight="false" outlineLevel="0" collapsed="false">
      <c r="A1129" s="20" t="s">
        <v>1440</v>
      </c>
      <c r="B1129" s="9" t="s">
        <v>253</v>
      </c>
      <c r="C1129" s="9" t="s">
        <v>223</v>
      </c>
      <c r="D1129" s="9" t="n">
        <v>33</v>
      </c>
      <c r="E1129" s="30" t="n">
        <v>26367</v>
      </c>
      <c r="F1129" s="30" t="n">
        <v>17820</v>
      </c>
      <c r="G1129" s="35" t="n">
        <v>0.675844806007509</v>
      </c>
    </row>
    <row r="1130" customFormat="false" ht="15" hidden="false" customHeight="false" outlineLevel="0" collapsed="false">
      <c r="A1130" s="25" t="s">
        <v>1441</v>
      </c>
      <c r="B1130" s="29" t="s">
        <v>253</v>
      </c>
      <c r="C1130" s="29" t="s">
        <v>223</v>
      </c>
      <c r="D1130" s="29" t="n">
        <v>3</v>
      </c>
      <c r="E1130" s="31" t="n">
        <v>26307</v>
      </c>
      <c r="F1130" s="31" t="n">
        <v>6471</v>
      </c>
      <c r="G1130" s="37" t="n">
        <v>0.245980157372562</v>
      </c>
    </row>
    <row r="1131" customFormat="false" ht="15" hidden="false" customHeight="false" outlineLevel="0" collapsed="false">
      <c r="A1131" s="20" t="s">
        <v>1442</v>
      </c>
      <c r="B1131" s="20" t="s">
        <v>200</v>
      </c>
      <c r="C1131" s="9" t="s">
        <v>297</v>
      </c>
      <c r="D1131" s="9" t="n">
        <v>4</v>
      </c>
      <c r="E1131" s="30" t="n">
        <v>26208</v>
      </c>
      <c r="F1131" s="30" t="n">
        <v>14408</v>
      </c>
      <c r="G1131" s="35" t="n">
        <v>0.5497557997558</v>
      </c>
    </row>
    <row r="1132" customFormat="false" ht="15" hidden="false" customHeight="false" outlineLevel="0" collapsed="false">
      <c r="A1132" s="25" t="s">
        <v>1443</v>
      </c>
      <c r="B1132" s="25" t="s">
        <v>220</v>
      </c>
      <c r="C1132" s="29" t="s">
        <v>217</v>
      </c>
      <c r="D1132" s="29" t="n">
        <v>1</v>
      </c>
      <c r="E1132" s="31" t="n">
        <v>26134</v>
      </c>
      <c r="F1132" s="31" t="n">
        <v>3944</v>
      </c>
      <c r="G1132" s="37" t="n">
        <v>0.150914517486799</v>
      </c>
    </row>
    <row r="1133" customFormat="false" ht="15" hidden="false" customHeight="false" outlineLevel="0" collapsed="false">
      <c r="A1133" s="20" t="s">
        <v>1444</v>
      </c>
      <c r="B1133" s="20" t="s">
        <v>194</v>
      </c>
      <c r="C1133" s="9" t="s">
        <v>217</v>
      </c>
      <c r="D1133" s="9" t="n">
        <v>1</v>
      </c>
      <c r="E1133" s="30" t="n">
        <v>26076</v>
      </c>
      <c r="F1133" s="30" t="n">
        <v>21088</v>
      </c>
      <c r="G1133" s="35" t="n">
        <v>0.808712992790305</v>
      </c>
    </row>
    <row r="1134" customFormat="false" ht="15" hidden="false" customHeight="false" outlineLevel="0" collapsed="false">
      <c r="A1134" s="25" t="s">
        <v>1445</v>
      </c>
      <c r="B1134" s="25" t="s">
        <v>194</v>
      </c>
      <c r="C1134" s="29" t="s">
        <v>231</v>
      </c>
      <c r="D1134" s="29" t="n">
        <v>3</v>
      </c>
      <c r="E1134" s="31" t="n">
        <v>25983</v>
      </c>
      <c r="F1134" s="31" t="n">
        <v>-3438</v>
      </c>
      <c r="G1134" s="37" t="n">
        <v>-0.132317284378247</v>
      </c>
    </row>
    <row r="1135" customFormat="false" ht="15" hidden="false" customHeight="false" outlineLevel="0" collapsed="false">
      <c r="A1135" s="20" t="s">
        <v>1446</v>
      </c>
      <c r="B1135" s="9" t="s">
        <v>253</v>
      </c>
      <c r="C1135" s="9" t="s">
        <v>254</v>
      </c>
      <c r="D1135" s="9" t="n">
        <v>4</v>
      </c>
      <c r="E1135" s="30" t="n">
        <v>25896</v>
      </c>
      <c r="F1135" s="30" t="n">
        <v>23092</v>
      </c>
      <c r="G1135" s="35" t="n">
        <v>0.891720729070127</v>
      </c>
    </row>
    <row r="1136" customFormat="false" ht="15" hidden="false" customHeight="false" outlineLevel="0" collapsed="false">
      <c r="A1136" s="25" t="s">
        <v>1447</v>
      </c>
      <c r="B1136" s="25" t="s">
        <v>200</v>
      </c>
      <c r="C1136" s="29" t="s">
        <v>355</v>
      </c>
      <c r="D1136" s="29" t="n">
        <v>11</v>
      </c>
      <c r="E1136" s="31" t="n">
        <v>25861</v>
      </c>
      <c r="F1136" s="31" t="n">
        <v>9229</v>
      </c>
      <c r="G1136" s="37" t="n">
        <v>0.356869417269247</v>
      </c>
    </row>
    <row r="1137" customFormat="false" ht="15" hidden="false" customHeight="false" outlineLevel="0" collapsed="false">
      <c r="A1137" s="20" t="s">
        <v>1448</v>
      </c>
      <c r="B1137" s="20" t="s">
        <v>194</v>
      </c>
      <c r="C1137" s="9" t="s">
        <v>290</v>
      </c>
      <c r="D1137" s="9" t="n">
        <v>2</v>
      </c>
      <c r="E1137" s="30" t="n">
        <v>25800</v>
      </c>
      <c r="F1137" s="30" t="n">
        <v>7600</v>
      </c>
      <c r="G1137" s="35" t="n">
        <v>0.294573643410853</v>
      </c>
    </row>
    <row r="1138" customFormat="false" ht="15" hidden="false" customHeight="false" outlineLevel="0" collapsed="false">
      <c r="A1138" s="25" t="s">
        <v>1449</v>
      </c>
      <c r="B1138" s="25" t="s">
        <v>194</v>
      </c>
      <c r="C1138" s="29" t="s">
        <v>297</v>
      </c>
      <c r="D1138" s="29" t="n">
        <v>1</v>
      </c>
      <c r="E1138" s="31" t="n">
        <v>25713</v>
      </c>
      <c r="F1138" s="31" t="n">
        <v>3857</v>
      </c>
      <c r="G1138" s="37" t="n">
        <v>0.150001944541672</v>
      </c>
    </row>
    <row r="1139" customFormat="false" ht="15" hidden="false" customHeight="false" outlineLevel="0" collapsed="false">
      <c r="A1139" s="20" t="s">
        <v>1450</v>
      </c>
      <c r="B1139" s="20" t="s">
        <v>240</v>
      </c>
      <c r="C1139" s="9" t="s">
        <v>368</v>
      </c>
      <c r="D1139" s="9" t="n">
        <v>4</v>
      </c>
      <c r="E1139" s="30" t="n">
        <v>25704</v>
      </c>
      <c r="F1139" s="30" t="n">
        <v>3856</v>
      </c>
      <c r="G1139" s="35" t="n">
        <v>0.150015561780268</v>
      </c>
    </row>
    <row r="1140" customFormat="false" ht="15" hidden="false" customHeight="false" outlineLevel="0" collapsed="false">
      <c r="A1140" s="25" t="s">
        <v>1451</v>
      </c>
      <c r="B1140" s="25" t="s">
        <v>194</v>
      </c>
      <c r="C1140" s="29" t="s">
        <v>195</v>
      </c>
      <c r="D1140" s="29" t="n">
        <v>1</v>
      </c>
      <c r="E1140" s="31" t="n">
        <v>25634</v>
      </c>
      <c r="F1140" s="31" t="n">
        <v>9623</v>
      </c>
      <c r="G1140" s="37" t="n">
        <v>0.37539985956152</v>
      </c>
    </row>
    <row r="1141" customFormat="false" ht="15" hidden="false" customHeight="false" outlineLevel="0" collapsed="false">
      <c r="A1141" s="20" t="s">
        <v>1452</v>
      </c>
      <c r="B1141" s="9" t="s">
        <v>253</v>
      </c>
      <c r="C1141" s="9" t="s">
        <v>428</v>
      </c>
      <c r="D1141" s="9" t="n">
        <v>3</v>
      </c>
      <c r="E1141" s="30" t="n">
        <v>25632</v>
      </c>
      <c r="F1141" s="30" t="n">
        <v>7983</v>
      </c>
      <c r="G1141" s="35" t="n">
        <v>0.311446629213483</v>
      </c>
    </row>
    <row r="1142" customFormat="false" ht="15" hidden="false" customHeight="false" outlineLevel="0" collapsed="false">
      <c r="A1142" s="25" t="s">
        <v>1453</v>
      </c>
      <c r="B1142" s="25" t="s">
        <v>200</v>
      </c>
      <c r="C1142" s="29" t="s">
        <v>223</v>
      </c>
      <c r="D1142" s="29" t="n">
        <v>20</v>
      </c>
      <c r="E1142" s="31" t="n">
        <v>25620</v>
      </c>
      <c r="F1142" s="31" t="n">
        <v>7000</v>
      </c>
      <c r="G1142" s="37" t="n">
        <v>0.273224043715847</v>
      </c>
    </row>
    <row r="1143" customFormat="false" ht="15" hidden="false" customHeight="false" outlineLevel="0" collapsed="false">
      <c r="A1143" s="20" t="s">
        <v>1454</v>
      </c>
      <c r="B1143" s="20" t="s">
        <v>200</v>
      </c>
      <c r="C1143" s="9" t="s">
        <v>223</v>
      </c>
      <c r="D1143" s="9" t="n">
        <v>7</v>
      </c>
      <c r="E1143" s="30" t="n">
        <v>25592</v>
      </c>
      <c r="F1143" s="30" t="n">
        <v>11340</v>
      </c>
      <c r="G1143" s="35" t="n">
        <v>0.443107221006565</v>
      </c>
    </row>
    <row r="1144" customFormat="false" ht="15" hidden="false" customHeight="false" outlineLevel="0" collapsed="false">
      <c r="A1144" s="25" t="s">
        <v>1455</v>
      </c>
      <c r="B1144" s="25" t="s">
        <v>194</v>
      </c>
      <c r="C1144" s="29" t="s">
        <v>203</v>
      </c>
      <c r="D1144" s="29" t="n">
        <v>3</v>
      </c>
      <c r="E1144" s="31" t="n">
        <v>25521</v>
      </c>
      <c r="F1144" s="31" t="n">
        <v>14199</v>
      </c>
      <c r="G1144" s="37" t="n">
        <v>0.556365346185494</v>
      </c>
    </row>
    <row r="1145" customFormat="false" ht="15" hidden="false" customHeight="false" outlineLevel="0" collapsed="false">
      <c r="A1145" s="20" t="s">
        <v>1456</v>
      </c>
      <c r="B1145" s="20" t="s">
        <v>200</v>
      </c>
      <c r="C1145" s="9" t="s">
        <v>880</v>
      </c>
      <c r="D1145" s="9" t="n">
        <v>2</v>
      </c>
      <c r="E1145" s="30" t="n">
        <v>25474</v>
      </c>
      <c r="F1145" s="30" t="n">
        <v>-8098</v>
      </c>
      <c r="G1145" s="35" t="n">
        <v>-0.317892753395619</v>
      </c>
    </row>
    <row r="1146" customFormat="false" ht="15" hidden="false" customHeight="false" outlineLevel="0" collapsed="false">
      <c r="A1146" s="25" t="s">
        <v>1457</v>
      </c>
      <c r="B1146" s="29" t="s">
        <v>1458</v>
      </c>
      <c r="C1146" s="29" t="s">
        <v>290</v>
      </c>
      <c r="D1146" s="29" t="n">
        <v>28</v>
      </c>
      <c r="E1146" s="31" t="n">
        <v>25424</v>
      </c>
      <c r="F1146" s="31" t="n">
        <v>9912</v>
      </c>
      <c r="G1146" s="37" t="n">
        <v>0.389867841409692</v>
      </c>
    </row>
    <row r="1147" customFormat="false" ht="15" hidden="false" customHeight="false" outlineLevel="0" collapsed="false">
      <c r="A1147" s="20" t="s">
        <v>1459</v>
      </c>
      <c r="B1147" s="20" t="s">
        <v>194</v>
      </c>
      <c r="C1147" s="9" t="s">
        <v>231</v>
      </c>
      <c r="D1147" s="9" t="n">
        <v>31</v>
      </c>
      <c r="E1147" s="30" t="n">
        <v>25389</v>
      </c>
      <c r="F1147" s="30" t="n">
        <v>10168</v>
      </c>
      <c r="G1147" s="35" t="n">
        <v>0.400488400488401</v>
      </c>
    </row>
    <row r="1148" customFormat="false" ht="15" hidden="false" customHeight="false" outlineLevel="0" collapsed="false">
      <c r="A1148" s="25" t="s">
        <v>1460</v>
      </c>
      <c r="B1148" s="25" t="s">
        <v>194</v>
      </c>
      <c r="C1148" s="29" t="s">
        <v>231</v>
      </c>
      <c r="D1148" s="29" t="n">
        <v>5</v>
      </c>
      <c r="E1148" s="31" t="n">
        <v>25335</v>
      </c>
      <c r="F1148" s="31" t="n">
        <v>12625</v>
      </c>
      <c r="G1148" s="37" t="n">
        <v>0.498322478784291</v>
      </c>
    </row>
    <row r="1149" customFormat="false" ht="15" hidden="false" customHeight="false" outlineLevel="0" collapsed="false">
      <c r="A1149" s="20" t="s">
        <v>1461</v>
      </c>
      <c r="B1149" s="20" t="s">
        <v>194</v>
      </c>
      <c r="C1149" s="9" t="s">
        <v>1020</v>
      </c>
      <c r="D1149" s="9" t="n">
        <v>12</v>
      </c>
      <c r="E1149" s="30" t="n">
        <v>25308</v>
      </c>
      <c r="F1149" s="30" t="n">
        <v>18372</v>
      </c>
      <c r="G1149" s="35" t="n">
        <v>0.725936462778568</v>
      </c>
    </row>
    <row r="1150" customFormat="false" ht="15" hidden="false" customHeight="false" outlineLevel="0" collapsed="false">
      <c r="A1150" s="25" t="s">
        <v>1462</v>
      </c>
      <c r="B1150" s="29" t="s">
        <v>253</v>
      </c>
      <c r="C1150" s="29" t="s">
        <v>254</v>
      </c>
      <c r="D1150" s="29" t="n">
        <v>5</v>
      </c>
      <c r="E1150" s="31" t="n">
        <v>25250</v>
      </c>
      <c r="F1150" s="31" t="n">
        <v>23325</v>
      </c>
      <c r="G1150" s="37" t="n">
        <v>0.923762376237624</v>
      </c>
    </row>
    <row r="1151" customFormat="false" ht="15" hidden="false" customHeight="false" outlineLevel="0" collapsed="false">
      <c r="A1151" s="20" t="s">
        <v>1463</v>
      </c>
      <c r="B1151" s="9" t="s">
        <v>253</v>
      </c>
      <c r="C1151" s="9" t="s">
        <v>254</v>
      </c>
      <c r="D1151" s="9" t="n">
        <v>38</v>
      </c>
      <c r="E1151" s="30" t="n">
        <v>25232</v>
      </c>
      <c r="F1151" s="30" t="n">
        <v>3787</v>
      </c>
      <c r="G1151" s="35" t="n">
        <v>0.150087190868738</v>
      </c>
    </row>
    <row r="1152" customFormat="false" ht="15" hidden="false" customHeight="false" outlineLevel="0" collapsed="false">
      <c r="A1152" s="25" t="s">
        <v>1464</v>
      </c>
      <c r="B1152" s="25" t="s">
        <v>194</v>
      </c>
      <c r="C1152" s="29" t="s">
        <v>203</v>
      </c>
      <c r="D1152" s="29" t="n">
        <v>3</v>
      </c>
      <c r="E1152" s="31" t="n">
        <v>25212</v>
      </c>
      <c r="F1152" s="31" t="n">
        <v>9675</v>
      </c>
      <c r="G1152" s="37" t="n">
        <v>0.383745835316516</v>
      </c>
    </row>
    <row r="1153" customFormat="false" ht="15" hidden="false" customHeight="false" outlineLevel="0" collapsed="false">
      <c r="A1153" s="20" t="s">
        <v>1465</v>
      </c>
      <c r="B1153" s="20" t="s">
        <v>200</v>
      </c>
      <c r="C1153" s="9" t="s">
        <v>430</v>
      </c>
      <c r="D1153" s="9" t="n">
        <v>17</v>
      </c>
      <c r="E1153" s="30" t="n">
        <v>25194</v>
      </c>
      <c r="F1153" s="30" t="n">
        <v>16694</v>
      </c>
      <c r="G1153" s="35" t="n">
        <v>0.662618083670715</v>
      </c>
    </row>
    <row r="1154" customFormat="false" ht="15" hidden="false" customHeight="false" outlineLevel="0" collapsed="false">
      <c r="A1154" s="25" t="s">
        <v>1466</v>
      </c>
      <c r="B1154" s="25" t="s">
        <v>194</v>
      </c>
      <c r="C1154" s="29" t="s">
        <v>231</v>
      </c>
      <c r="D1154" s="29" t="n">
        <v>3</v>
      </c>
      <c r="E1154" s="31" t="n">
        <v>25131</v>
      </c>
      <c r="F1154" s="31" t="n">
        <v>5994</v>
      </c>
      <c r="G1154" s="37" t="n">
        <v>0.238510206517847</v>
      </c>
    </row>
    <row r="1155" customFormat="false" ht="15" hidden="false" customHeight="false" outlineLevel="0" collapsed="false">
      <c r="A1155" s="20" t="s">
        <v>1467</v>
      </c>
      <c r="B1155" s="20" t="s">
        <v>194</v>
      </c>
      <c r="C1155" s="9" t="s">
        <v>295</v>
      </c>
      <c r="D1155" s="9" t="n">
        <v>20</v>
      </c>
      <c r="E1155" s="30" t="n">
        <v>25120</v>
      </c>
      <c r="F1155" s="30" t="n">
        <v>3768</v>
      </c>
      <c r="G1155" s="35" t="n">
        <v>0.15</v>
      </c>
    </row>
    <row r="1156" customFormat="false" ht="15" hidden="false" customHeight="false" outlineLevel="0" collapsed="false">
      <c r="A1156" s="25" t="s">
        <v>1468</v>
      </c>
      <c r="B1156" s="25" t="s">
        <v>1469</v>
      </c>
      <c r="C1156" s="29" t="s">
        <v>203</v>
      </c>
      <c r="D1156" s="29" t="n">
        <v>418</v>
      </c>
      <c r="E1156" s="31" t="n">
        <v>25080</v>
      </c>
      <c r="F1156" s="31" t="n">
        <v>3762</v>
      </c>
      <c r="G1156" s="37" t="n">
        <v>0.15</v>
      </c>
    </row>
    <row r="1157" customFormat="false" ht="15" hidden="false" customHeight="false" outlineLevel="0" collapsed="false">
      <c r="A1157" s="20" t="s">
        <v>1470</v>
      </c>
      <c r="B1157" s="20" t="s">
        <v>200</v>
      </c>
      <c r="C1157" s="9" t="s">
        <v>368</v>
      </c>
      <c r="D1157" s="9" t="n">
        <v>6</v>
      </c>
      <c r="E1157" s="30" t="n">
        <v>25050</v>
      </c>
      <c r="F1157" s="30" t="n">
        <v>2832</v>
      </c>
      <c r="G1157" s="35" t="n">
        <v>0.113053892215569</v>
      </c>
    </row>
    <row r="1158" customFormat="false" ht="15" hidden="false" customHeight="false" outlineLevel="0" collapsed="false">
      <c r="A1158" s="25" t="s">
        <v>1471</v>
      </c>
      <c r="B1158" s="29" t="s">
        <v>253</v>
      </c>
      <c r="C1158" s="29" t="s">
        <v>428</v>
      </c>
      <c r="D1158" s="29" t="n">
        <v>2</v>
      </c>
      <c r="E1158" s="31" t="n">
        <v>25046</v>
      </c>
      <c r="F1158" s="31" t="n">
        <v>9194</v>
      </c>
      <c r="G1158" s="37" t="n">
        <v>0.367084564401501</v>
      </c>
    </row>
    <row r="1159" customFormat="false" ht="15" hidden="false" customHeight="false" outlineLevel="0" collapsed="false">
      <c r="A1159" s="20" t="s">
        <v>1472</v>
      </c>
      <c r="B1159" s="9" t="s">
        <v>253</v>
      </c>
      <c r="C1159" s="9" t="s">
        <v>223</v>
      </c>
      <c r="D1159" s="9" t="n">
        <v>4</v>
      </c>
      <c r="E1159" s="30" t="n">
        <v>25036</v>
      </c>
      <c r="F1159" s="30" t="n">
        <v>5048</v>
      </c>
      <c r="G1159" s="35" t="n">
        <v>0.201629653299249</v>
      </c>
    </row>
    <row r="1160" customFormat="false" ht="15" hidden="false" customHeight="false" outlineLevel="0" collapsed="false">
      <c r="A1160" s="25" t="s">
        <v>1473</v>
      </c>
      <c r="B1160" s="29" t="s">
        <v>253</v>
      </c>
      <c r="C1160" s="29" t="s">
        <v>428</v>
      </c>
      <c r="D1160" s="29" t="n">
        <v>10</v>
      </c>
      <c r="E1160" s="31" t="n">
        <v>25020</v>
      </c>
      <c r="F1160" s="31" t="n">
        <v>7940</v>
      </c>
      <c r="G1160" s="37" t="n">
        <v>0.317346123101519</v>
      </c>
    </row>
    <row r="1161" customFormat="false" ht="15" hidden="false" customHeight="false" outlineLevel="0" collapsed="false">
      <c r="A1161" s="20" t="s">
        <v>1474</v>
      </c>
      <c r="B1161" s="20" t="s">
        <v>194</v>
      </c>
      <c r="C1161" s="9" t="s">
        <v>217</v>
      </c>
      <c r="D1161" s="9" t="n">
        <v>20</v>
      </c>
      <c r="E1161" s="30" t="n">
        <v>25000</v>
      </c>
      <c r="F1161" s="30" t="n">
        <v>13420</v>
      </c>
      <c r="G1161" s="35" t="n">
        <v>0.5368</v>
      </c>
    </row>
    <row r="1162" customFormat="false" ht="15" hidden="false" customHeight="false" outlineLevel="0" collapsed="false">
      <c r="A1162" s="25" t="s">
        <v>1475</v>
      </c>
      <c r="B1162" s="25" t="s">
        <v>194</v>
      </c>
      <c r="C1162" s="29" t="s">
        <v>195</v>
      </c>
      <c r="D1162" s="29" t="n">
        <v>42</v>
      </c>
      <c r="E1162" s="31" t="n">
        <v>24948</v>
      </c>
      <c r="F1162" s="31" t="n">
        <v>3742</v>
      </c>
      <c r="G1162" s="37" t="n">
        <v>0.149991983325317</v>
      </c>
    </row>
    <row r="1163" customFormat="false" ht="15" hidden="false" customHeight="false" outlineLevel="0" collapsed="false">
      <c r="A1163" s="20" t="s">
        <v>1476</v>
      </c>
      <c r="B1163" s="20" t="s">
        <v>194</v>
      </c>
      <c r="C1163" s="9" t="s">
        <v>203</v>
      </c>
      <c r="D1163" s="9" t="n">
        <v>7</v>
      </c>
      <c r="E1163" s="30" t="n">
        <v>24934</v>
      </c>
      <c r="F1163" s="30" t="n">
        <v>14861</v>
      </c>
      <c r="G1163" s="35" t="n">
        <v>0.596013475575519</v>
      </c>
    </row>
    <row r="1164" customFormat="false" ht="15" hidden="false" customHeight="false" outlineLevel="0" collapsed="false">
      <c r="A1164" s="25" t="s">
        <v>1477</v>
      </c>
      <c r="B1164" s="29" t="s">
        <v>253</v>
      </c>
      <c r="C1164" s="29" t="s">
        <v>254</v>
      </c>
      <c r="D1164" s="29" t="n">
        <v>10</v>
      </c>
      <c r="E1164" s="31" t="n">
        <v>24890</v>
      </c>
      <c r="F1164" s="31" t="n">
        <v>16250</v>
      </c>
      <c r="G1164" s="37" t="n">
        <v>0.652872639614303</v>
      </c>
    </row>
    <row r="1165" customFormat="false" ht="15" hidden="false" customHeight="false" outlineLevel="0" collapsed="false">
      <c r="A1165" s="20" t="s">
        <v>1478</v>
      </c>
      <c r="B1165" s="20" t="s">
        <v>194</v>
      </c>
      <c r="C1165" s="9" t="s">
        <v>254</v>
      </c>
      <c r="D1165" s="9" t="n">
        <v>4</v>
      </c>
      <c r="E1165" s="30" t="n">
        <v>24788</v>
      </c>
      <c r="F1165" s="30" t="n">
        <v>16564</v>
      </c>
      <c r="G1165" s="35" t="n">
        <v>0.668226561239309</v>
      </c>
    </row>
    <row r="1166" customFormat="false" ht="15" hidden="false" customHeight="false" outlineLevel="0" collapsed="false">
      <c r="A1166" s="25" t="s">
        <v>1479</v>
      </c>
      <c r="B1166" s="25" t="s">
        <v>1480</v>
      </c>
      <c r="C1166" s="29" t="s">
        <v>274</v>
      </c>
      <c r="D1166" s="29" t="n">
        <v>105</v>
      </c>
      <c r="E1166" s="31" t="n">
        <v>24780</v>
      </c>
      <c r="F1166" s="31" t="n">
        <v>5670</v>
      </c>
      <c r="G1166" s="37" t="n">
        <v>0.228813559322034</v>
      </c>
    </row>
    <row r="1167" customFormat="false" ht="15" hidden="false" customHeight="false" outlineLevel="0" collapsed="false">
      <c r="A1167" s="20" t="s">
        <v>1481</v>
      </c>
      <c r="B1167" s="20" t="s">
        <v>1482</v>
      </c>
      <c r="C1167" s="9" t="s">
        <v>880</v>
      </c>
      <c r="D1167" s="9" t="n">
        <v>1</v>
      </c>
      <c r="E1167" s="30" t="n">
        <v>24758</v>
      </c>
      <c r="F1167" s="30" t="n">
        <v>3467</v>
      </c>
      <c r="G1167" s="35" t="n">
        <v>0.140035544066564</v>
      </c>
    </row>
    <row r="1168" customFormat="false" ht="15" hidden="false" customHeight="false" outlineLevel="0" collapsed="false">
      <c r="A1168" s="25" t="s">
        <v>1483</v>
      </c>
      <c r="B1168" s="25" t="s">
        <v>194</v>
      </c>
      <c r="C1168" s="29" t="s">
        <v>880</v>
      </c>
      <c r="D1168" s="29" t="n">
        <v>1</v>
      </c>
      <c r="E1168" s="31" t="n">
        <v>24742</v>
      </c>
      <c r="F1168" s="31" t="n">
        <v>23042</v>
      </c>
      <c r="G1168" s="37" t="n">
        <v>0.931290922318325</v>
      </c>
    </row>
    <row r="1169" customFormat="false" ht="15" hidden="false" customHeight="false" outlineLevel="0" collapsed="false">
      <c r="A1169" s="20" t="s">
        <v>1484</v>
      </c>
      <c r="B1169" s="20" t="s">
        <v>194</v>
      </c>
      <c r="C1169" s="9" t="s">
        <v>195</v>
      </c>
      <c r="D1169" s="9" t="n">
        <v>7</v>
      </c>
      <c r="E1169" s="30" t="n">
        <v>24696</v>
      </c>
      <c r="F1169" s="30" t="n">
        <v>4410</v>
      </c>
      <c r="G1169" s="35" t="n">
        <v>0.178571428571429</v>
      </c>
    </row>
    <row r="1170" customFormat="false" ht="15" hidden="false" customHeight="false" outlineLevel="0" collapsed="false">
      <c r="A1170" s="25" t="s">
        <v>1485</v>
      </c>
      <c r="B1170" s="25" t="s">
        <v>194</v>
      </c>
      <c r="C1170" s="29" t="s">
        <v>297</v>
      </c>
      <c r="D1170" s="29" t="n">
        <v>1</v>
      </c>
      <c r="E1170" s="31" t="n">
        <v>24618</v>
      </c>
      <c r="F1170" s="31" t="n">
        <v>3693</v>
      </c>
      <c r="G1170" s="37" t="n">
        <v>0.150012186205216</v>
      </c>
    </row>
    <row r="1171" customFormat="false" ht="15" hidden="false" customHeight="false" outlineLevel="0" collapsed="false">
      <c r="A1171" s="20" t="s">
        <v>1486</v>
      </c>
      <c r="B1171" s="20" t="s">
        <v>194</v>
      </c>
      <c r="C1171" s="9" t="s">
        <v>231</v>
      </c>
      <c r="D1171" s="9" t="n">
        <v>3</v>
      </c>
      <c r="E1171" s="30" t="n">
        <v>24594</v>
      </c>
      <c r="F1171" s="30" t="n">
        <v>4317</v>
      </c>
      <c r="G1171" s="35" t="n">
        <v>0.175530617223713</v>
      </c>
    </row>
    <row r="1172" customFormat="false" ht="15" hidden="false" customHeight="false" outlineLevel="0" collapsed="false">
      <c r="A1172" s="25" t="s">
        <v>1487</v>
      </c>
      <c r="B1172" s="25" t="s">
        <v>194</v>
      </c>
      <c r="C1172" s="29" t="s">
        <v>368</v>
      </c>
      <c r="D1172" s="29" t="n">
        <v>18</v>
      </c>
      <c r="E1172" s="31" t="n">
        <v>24514</v>
      </c>
      <c r="F1172" s="31" t="n">
        <v>14830</v>
      </c>
      <c r="G1172" s="37" t="n">
        <v>0.604960430774251</v>
      </c>
    </row>
    <row r="1173" customFormat="false" ht="15" hidden="false" customHeight="false" outlineLevel="0" collapsed="false">
      <c r="A1173" s="20" t="s">
        <v>1488</v>
      </c>
      <c r="B1173" s="20" t="s">
        <v>194</v>
      </c>
      <c r="C1173" s="9" t="s">
        <v>223</v>
      </c>
      <c r="D1173" s="9" t="n">
        <v>1</v>
      </c>
      <c r="E1173" s="30" t="n">
        <v>24493</v>
      </c>
      <c r="F1173" s="30" t="n">
        <v>9038</v>
      </c>
      <c r="G1173" s="35" t="n">
        <v>0.369003388723309</v>
      </c>
    </row>
    <row r="1174" customFormat="false" ht="15" hidden="false" customHeight="false" outlineLevel="0" collapsed="false">
      <c r="A1174" s="25" t="s">
        <v>1489</v>
      </c>
      <c r="B1174" s="25" t="s">
        <v>194</v>
      </c>
      <c r="C1174" s="29" t="s">
        <v>676</v>
      </c>
      <c r="D1174" s="29" t="n">
        <v>5</v>
      </c>
      <c r="E1174" s="31" t="n">
        <v>24470</v>
      </c>
      <c r="F1174" s="31" t="n">
        <v>4665</v>
      </c>
      <c r="G1174" s="37" t="n">
        <v>0.190641601961586</v>
      </c>
    </row>
    <row r="1175" customFormat="false" ht="15" hidden="false" customHeight="false" outlineLevel="0" collapsed="false">
      <c r="A1175" s="20" t="s">
        <v>1490</v>
      </c>
      <c r="B1175" s="20" t="s">
        <v>194</v>
      </c>
      <c r="C1175" s="9" t="s">
        <v>203</v>
      </c>
      <c r="D1175" s="9" t="n">
        <v>8</v>
      </c>
      <c r="E1175" s="30" t="n">
        <v>24304</v>
      </c>
      <c r="F1175" s="30" t="n">
        <v>15256</v>
      </c>
      <c r="G1175" s="35" t="n">
        <v>0.62771560236998</v>
      </c>
    </row>
    <row r="1176" customFormat="false" ht="15" hidden="false" customHeight="false" outlineLevel="0" collapsed="false">
      <c r="A1176" s="25" t="s">
        <v>1491</v>
      </c>
      <c r="B1176" s="25" t="s">
        <v>240</v>
      </c>
      <c r="C1176" s="29" t="s">
        <v>439</v>
      </c>
      <c r="D1176" s="29" t="n">
        <v>4</v>
      </c>
      <c r="E1176" s="31" t="n">
        <v>24276</v>
      </c>
      <c r="F1176" s="31" t="n">
        <v>3641</v>
      </c>
      <c r="G1176" s="37" t="n">
        <v>0.149983522820893</v>
      </c>
    </row>
    <row r="1177" customFormat="false" ht="15" hidden="false" customHeight="false" outlineLevel="0" collapsed="false">
      <c r="A1177" s="20" t="s">
        <v>1492</v>
      </c>
      <c r="B1177" s="9" t="s">
        <v>253</v>
      </c>
      <c r="C1177" s="9" t="s">
        <v>254</v>
      </c>
      <c r="D1177" s="9" t="n">
        <v>10</v>
      </c>
      <c r="E1177" s="30" t="n">
        <v>24240</v>
      </c>
      <c r="F1177" s="30" t="n">
        <v>21000</v>
      </c>
      <c r="G1177" s="35" t="n">
        <v>0.866336633663366</v>
      </c>
    </row>
    <row r="1178" customFormat="false" ht="15" hidden="false" customHeight="false" outlineLevel="0" collapsed="false">
      <c r="A1178" s="25" t="s">
        <v>1493</v>
      </c>
      <c r="B1178" s="25" t="s">
        <v>194</v>
      </c>
      <c r="C1178" s="29" t="s">
        <v>768</v>
      </c>
      <c r="D1178" s="29" t="n">
        <v>2</v>
      </c>
      <c r="E1178" s="31" t="n">
        <v>24226</v>
      </c>
      <c r="F1178" s="31" t="n">
        <v>-2096</v>
      </c>
      <c r="G1178" s="37" t="n">
        <v>-0.0865186163625856</v>
      </c>
    </row>
    <row r="1179" customFormat="false" ht="15" hidden="false" customHeight="false" outlineLevel="0" collapsed="false">
      <c r="A1179" s="20" t="s">
        <v>1494</v>
      </c>
      <c r="B1179" s="20" t="s">
        <v>194</v>
      </c>
      <c r="C1179" s="9" t="s">
        <v>768</v>
      </c>
      <c r="D1179" s="9" t="n">
        <v>8</v>
      </c>
      <c r="E1179" s="30" t="n">
        <v>24216</v>
      </c>
      <c r="F1179" s="30" t="n">
        <v>9000</v>
      </c>
      <c r="G1179" s="35" t="n">
        <v>0.371655104063429</v>
      </c>
    </row>
    <row r="1180" customFormat="false" ht="15" hidden="false" customHeight="false" outlineLevel="0" collapsed="false">
      <c r="A1180" s="25" t="s">
        <v>1495</v>
      </c>
      <c r="B1180" s="25" t="s">
        <v>200</v>
      </c>
      <c r="C1180" s="29" t="s">
        <v>428</v>
      </c>
      <c r="D1180" s="29" t="n">
        <v>50</v>
      </c>
      <c r="E1180" s="31" t="n">
        <v>24200</v>
      </c>
      <c r="F1180" s="31" t="n">
        <v>350</v>
      </c>
      <c r="G1180" s="37" t="n">
        <v>0.0144628099173553</v>
      </c>
    </row>
    <row r="1181" customFormat="false" ht="15" hidden="false" customHeight="false" outlineLevel="0" collapsed="false">
      <c r="A1181" s="20" t="s">
        <v>1496</v>
      </c>
      <c r="B1181" s="9" t="s">
        <v>253</v>
      </c>
      <c r="C1181" s="9" t="s">
        <v>254</v>
      </c>
      <c r="D1181" s="9" t="n">
        <v>10</v>
      </c>
      <c r="E1181" s="30" t="n">
        <v>24200</v>
      </c>
      <c r="F1181" s="30" t="n">
        <v>15580</v>
      </c>
      <c r="G1181" s="35" t="n">
        <v>0.643801652892562</v>
      </c>
    </row>
    <row r="1182" customFormat="false" ht="15" hidden="false" customHeight="false" outlineLevel="0" collapsed="false">
      <c r="A1182" s="25" t="s">
        <v>1497</v>
      </c>
      <c r="B1182" s="29" t="s">
        <v>253</v>
      </c>
      <c r="C1182" s="29" t="s">
        <v>428</v>
      </c>
      <c r="D1182" s="29" t="n">
        <v>3</v>
      </c>
      <c r="E1182" s="31" t="n">
        <v>24177</v>
      </c>
      <c r="F1182" s="31" t="n">
        <v>5775</v>
      </c>
      <c r="G1182" s="37" t="n">
        <v>0.238863382553667</v>
      </c>
    </row>
    <row r="1183" customFormat="false" ht="15" hidden="false" customHeight="false" outlineLevel="0" collapsed="false">
      <c r="A1183" s="20" t="s">
        <v>1498</v>
      </c>
      <c r="B1183" s="20" t="s">
        <v>194</v>
      </c>
      <c r="C1183" s="9" t="s">
        <v>297</v>
      </c>
      <c r="D1183" s="9" t="n">
        <v>1</v>
      </c>
      <c r="E1183" s="30" t="n">
        <v>24136</v>
      </c>
      <c r="F1183" s="30" t="n">
        <v>3620</v>
      </c>
      <c r="G1183" s="35" t="n">
        <v>0.149983427245608</v>
      </c>
    </row>
    <row r="1184" customFormat="false" ht="15" hidden="false" customHeight="false" outlineLevel="0" collapsed="false">
      <c r="A1184" s="25" t="s">
        <v>1499</v>
      </c>
      <c r="B1184" s="25" t="s">
        <v>200</v>
      </c>
      <c r="C1184" s="29" t="s">
        <v>368</v>
      </c>
      <c r="D1184" s="29" t="n">
        <v>8</v>
      </c>
      <c r="E1184" s="31" t="n">
        <v>24120</v>
      </c>
      <c r="F1184" s="31" t="n">
        <v>7432</v>
      </c>
      <c r="G1184" s="37" t="n">
        <v>0.308126036484245</v>
      </c>
    </row>
    <row r="1185" customFormat="false" ht="15" hidden="false" customHeight="false" outlineLevel="0" collapsed="false">
      <c r="A1185" s="20" t="s">
        <v>1500</v>
      </c>
      <c r="B1185" s="20" t="s">
        <v>200</v>
      </c>
      <c r="C1185" s="9" t="s">
        <v>880</v>
      </c>
      <c r="D1185" s="9" t="n">
        <v>1</v>
      </c>
      <c r="E1185" s="30" t="n">
        <v>24044</v>
      </c>
      <c r="F1185" s="30" t="n">
        <v>3243</v>
      </c>
      <c r="G1185" s="35" t="n">
        <v>0.134877724172351</v>
      </c>
    </row>
    <row r="1186" customFormat="false" ht="15" hidden="false" customHeight="false" outlineLevel="0" collapsed="false">
      <c r="A1186" s="25" t="s">
        <v>1501</v>
      </c>
      <c r="B1186" s="25" t="s">
        <v>194</v>
      </c>
      <c r="C1186" s="29" t="s">
        <v>380</v>
      </c>
      <c r="D1186" s="29" t="n">
        <v>3</v>
      </c>
      <c r="E1186" s="31" t="n">
        <v>23991</v>
      </c>
      <c r="F1186" s="31" t="n">
        <v>3765</v>
      </c>
      <c r="G1186" s="37" t="n">
        <v>0.156933850193823</v>
      </c>
    </row>
    <row r="1187" customFormat="false" ht="15" hidden="false" customHeight="false" outlineLevel="0" collapsed="false">
      <c r="A1187" s="20" t="s">
        <v>1502</v>
      </c>
      <c r="B1187" s="20" t="s">
        <v>194</v>
      </c>
      <c r="C1187" s="9" t="s">
        <v>206</v>
      </c>
      <c r="D1187" s="9" t="n">
        <v>30</v>
      </c>
      <c r="E1187" s="30" t="n">
        <v>23880</v>
      </c>
      <c r="F1187" s="30" t="n">
        <v>-1950</v>
      </c>
      <c r="G1187" s="35" t="n">
        <v>-0.0816582914572864</v>
      </c>
    </row>
    <row r="1188" customFormat="false" ht="15" hidden="false" customHeight="false" outlineLevel="0" collapsed="false">
      <c r="A1188" s="25" t="s">
        <v>1503</v>
      </c>
      <c r="B1188" s="29" t="s">
        <v>253</v>
      </c>
      <c r="C1188" s="29" t="s">
        <v>254</v>
      </c>
      <c r="D1188" s="29" t="n">
        <v>10</v>
      </c>
      <c r="E1188" s="31" t="n">
        <v>23810</v>
      </c>
      <c r="F1188" s="31" t="n">
        <v>17010</v>
      </c>
      <c r="G1188" s="37" t="n">
        <v>0.714405711885762</v>
      </c>
    </row>
    <row r="1189" customFormat="false" ht="15" hidden="false" customHeight="false" outlineLevel="0" collapsed="false">
      <c r="A1189" s="20" t="s">
        <v>1504</v>
      </c>
      <c r="B1189" s="9" t="s">
        <v>1262</v>
      </c>
      <c r="C1189" s="9" t="s">
        <v>428</v>
      </c>
      <c r="D1189" s="9" t="n">
        <v>12</v>
      </c>
      <c r="E1189" s="30" t="n">
        <v>23808</v>
      </c>
      <c r="F1189" s="30" t="n">
        <v>8700</v>
      </c>
      <c r="G1189" s="35" t="n">
        <v>0.365423387096774</v>
      </c>
    </row>
    <row r="1190" customFormat="false" ht="15" hidden="false" customHeight="false" outlineLevel="0" collapsed="false">
      <c r="A1190" s="25" t="s">
        <v>1505</v>
      </c>
      <c r="B1190" s="29" t="s">
        <v>253</v>
      </c>
      <c r="C1190" s="29" t="s">
        <v>254</v>
      </c>
      <c r="D1190" s="29" t="n">
        <v>10</v>
      </c>
      <c r="E1190" s="31" t="n">
        <v>23730</v>
      </c>
      <c r="F1190" s="31" t="n">
        <v>15120</v>
      </c>
      <c r="G1190" s="37" t="n">
        <v>0.63716814159292</v>
      </c>
    </row>
    <row r="1191" customFormat="false" ht="15" hidden="false" customHeight="false" outlineLevel="0" collapsed="false">
      <c r="A1191" s="20" t="s">
        <v>1506</v>
      </c>
      <c r="B1191" s="20" t="s">
        <v>194</v>
      </c>
      <c r="C1191" s="9" t="s">
        <v>368</v>
      </c>
      <c r="D1191" s="9" t="n">
        <v>12</v>
      </c>
      <c r="E1191" s="30" t="n">
        <v>23628</v>
      </c>
      <c r="F1191" s="30" t="n">
        <v>18708</v>
      </c>
      <c r="G1191" s="35" t="n">
        <v>0.791772473336719</v>
      </c>
    </row>
    <row r="1192" customFormat="false" ht="15" hidden="false" customHeight="false" outlineLevel="0" collapsed="false">
      <c r="A1192" s="25" t="s">
        <v>1507</v>
      </c>
      <c r="B1192" s="29" t="s">
        <v>253</v>
      </c>
      <c r="C1192" s="29" t="s">
        <v>254</v>
      </c>
      <c r="D1192" s="29" t="n">
        <v>10</v>
      </c>
      <c r="E1192" s="31" t="n">
        <v>23500</v>
      </c>
      <c r="F1192" s="31" t="n">
        <v>14900</v>
      </c>
      <c r="G1192" s="37" t="n">
        <v>0.634042553191489</v>
      </c>
    </row>
    <row r="1193" customFormat="false" ht="15" hidden="false" customHeight="false" outlineLevel="0" collapsed="false">
      <c r="A1193" s="20" t="s">
        <v>1508</v>
      </c>
      <c r="B1193" s="9" t="s">
        <v>253</v>
      </c>
      <c r="C1193" s="9" t="s">
        <v>254</v>
      </c>
      <c r="D1193" s="9" t="n">
        <v>10</v>
      </c>
      <c r="E1193" s="30" t="n">
        <v>23480</v>
      </c>
      <c r="F1193" s="30" t="n">
        <v>16680</v>
      </c>
      <c r="G1193" s="35" t="n">
        <v>0.710391822827939</v>
      </c>
    </row>
    <row r="1194" customFormat="false" ht="15" hidden="false" customHeight="false" outlineLevel="0" collapsed="false">
      <c r="A1194" s="25" t="s">
        <v>1509</v>
      </c>
      <c r="B1194" s="25" t="s">
        <v>194</v>
      </c>
      <c r="C1194" s="29" t="s">
        <v>203</v>
      </c>
      <c r="D1194" s="29" t="n">
        <v>8</v>
      </c>
      <c r="E1194" s="31" t="n">
        <v>23384</v>
      </c>
      <c r="F1194" s="31" t="n">
        <v>16312</v>
      </c>
      <c r="G1194" s="37" t="n">
        <v>0.697570988710229</v>
      </c>
    </row>
    <row r="1195" customFormat="false" ht="15" hidden="false" customHeight="false" outlineLevel="0" collapsed="false">
      <c r="A1195" s="20" t="s">
        <v>1510</v>
      </c>
      <c r="B1195" s="20" t="s">
        <v>194</v>
      </c>
      <c r="C1195" s="9" t="s">
        <v>880</v>
      </c>
      <c r="D1195" s="9" t="n">
        <v>2</v>
      </c>
      <c r="E1195" s="30" t="n">
        <v>23344</v>
      </c>
      <c r="F1195" s="30" t="n">
        <v>19644</v>
      </c>
      <c r="G1195" s="35" t="n">
        <v>0.841501028101439</v>
      </c>
    </row>
    <row r="1196" customFormat="false" ht="15" hidden="false" customHeight="false" outlineLevel="0" collapsed="false">
      <c r="A1196" s="25" t="s">
        <v>1511</v>
      </c>
      <c r="B1196" s="29" t="s">
        <v>253</v>
      </c>
      <c r="C1196" s="29" t="s">
        <v>254</v>
      </c>
      <c r="D1196" s="29" t="n">
        <v>10</v>
      </c>
      <c r="E1196" s="31" t="n">
        <v>23310</v>
      </c>
      <c r="F1196" s="31" t="n">
        <v>16520</v>
      </c>
      <c r="G1196" s="37" t="n">
        <v>0.708708708708709</v>
      </c>
    </row>
    <row r="1197" customFormat="false" ht="15" hidden="false" customHeight="false" outlineLevel="0" collapsed="false">
      <c r="A1197" s="20" t="s">
        <v>1512</v>
      </c>
      <c r="B1197" s="20" t="s">
        <v>194</v>
      </c>
      <c r="C1197" s="9" t="s">
        <v>334</v>
      </c>
      <c r="D1197" s="9" t="n">
        <v>4</v>
      </c>
      <c r="E1197" s="30" t="n">
        <v>23256</v>
      </c>
      <c r="F1197" s="30" t="n">
        <v>4652</v>
      </c>
      <c r="G1197" s="35" t="n">
        <v>0.200034399724802</v>
      </c>
    </row>
    <row r="1198" customFormat="false" ht="15" hidden="false" customHeight="false" outlineLevel="0" collapsed="false">
      <c r="A1198" s="25" t="s">
        <v>1513</v>
      </c>
      <c r="B1198" s="29" t="s">
        <v>1514</v>
      </c>
      <c r="C1198" s="29" t="s">
        <v>223</v>
      </c>
      <c r="D1198" s="29" t="n">
        <v>22</v>
      </c>
      <c r="E1198" s="31" t="n">
        <v>23122</v>
      </c>
      <c r="F1198" s="31" t="n">
        <v>10252</v>
      </c>
      <c r="G1198" s="37" t="n">
        <v>0.443387250237869</v>
      </c>
    </row>
    <row r="1199" customFormat="false" ht="15" hidden="false" customHeight="false" outlineLevel="0" collapsed="false">
      <c r="A1199" s="20" t="s">
        <v>1515</v>
      </c>
      <c r="B1199" s="9" t="s">
        <v>253</v>
      </c>
      <c r="C1199" s="9" t="s">
        <v>428</v>
      </c>
      <c r="D1199" s="9" t="n">
        <v>1</v>
      </c>
      <c r="E1199" s="30" t="n">
        <v>23110</v>
      </c>
      <c r="F1199" s="30" t="n">
        <v>5300</v>
      </c>
      <c r="G1199" s="35" t="n">
        <v>0.229337948939853</v>
      </c>
    </row>
    <row r="1200" customFormat="false" ht="15" hidden="false" customHeight="false" outlineLevel="0" collapsed="false">
      <c r="A1200" s="25" t="s">
        <v>1516</v>
      </c>
      <c r="B1200" s="29" t="s">
        <v>253</v>
      </c>
      <c r="C1200" s="29" t="s">
        <v>254</v>
      </c>
      <c r="D1200" s="29" t="n">
        <v>38</v>
      </c>
      <c r="E1200" s="31" t="n">
        <v>23066</v>
      </c>
      <c r="F1200" s="31" t="n">
        <v>18924</v>
      </c>
      <c r="G1200" s="37" t="n">
        <v>0.820428336079077</v>
      </c>
    </row>
    <row r="1201" customFormat="false" ht="15" hidden="false" customHeight="false" outlineLevel="0" collapsed="false">
      <c r="A1201" s="20" t="s">
        <v>1517</v>
      </c>
      <c r="B1201" s="20" t="s">
        <v>240</v>
      </c>
      <c r="C1201" s="9" t="s">
        <v>516</v>
      </c>
      <c r="D1201" s="9" t="n">
        <v>15</v>
      </c>
      <c r="E1201" s="30" t="n">
        <v>23040</v>
      </c>
      <c r="F1201" s="30" t="n">
        <v>13245</v>
      </c>
      <c r="G1201" s="35" t="n">
        <v>0.574869791666667</v>
      </c>
    </row>
    <row r="1202" customFormat="false" ht="15" hidden="false" customHeight="false" outlineLevel="0" collapsed="false">
      <c r="A1202" s="25" t="s">
        <v>1518</v>
      </c>
      <c r="B1202" s="29" t="s">
        <v>253</v>
      </c>
      <c r="C1202" s="29" t="s">
        <v>254</v>
      </c>
      <c r="D1202" s="29" t="n">
        <v>10</v>
      </c>
      <c r="E1202" s="31" t="n">
        <v>23030</v>
      </c>
      <c r="F1202" s="31" t="n">
        <v>14440</v>
      </c>
      <c r="G1202" s="37" t="n">
        <v>0.627008250108554</v>
      </c>
    </row>
    <row r="1203" customFormat="false" ht="15" hidden="false" customHeight="false" outlineLevel="0" collapsed="false">
      <c r="A1203" s="20" t="s">
        <v>1519</v>
      </c>
      <c r="B1203" s="9" t="s">
        <v>253</v>
      </c>
      <c r="C1203" s="9" t="s">
        <v>254</v>
      </c>
      <c r="D1203" s="9" t="n">
        <v>10</v>
      </c>
      <c r="E1203" s="30" t="n">
        <v>22970</v>
      </c>
      <c r="F1203" s="30" t="n">
        <v>16180</v>
      </c>
      <c r="G1203" s="35" t="n">
        <v>0.704397039616892</v>
      </c>
    </row>
    <row r="1204" customFormat="false" ht="15" hidden="false" customHeight="false" outlineLevel="0" collapsed="false">
      <c r="A1204" s="25" t="s">
        <v>1520</v>
      </c>
      <c r="B1204" s="25" t="s">
        <v>194</v>
      </c>
      <c r="C1204" s="29" t="s">
        <v>1183</v>
      </c>
      <c r="D1204" s="29" t="n">
        <v>1</v>
      </c>
      <c r="E1204" s="31" t="n">
        <v>22964</v>
      </c>
      <c r="F1204" s="31" t="n">
        <v>4145</v>
      </c>
      <c r="G1204" s="37" t="n">
        <v>0.180499912907159</v>
      </c>
    </row>
    <row r="1205" customFormat="false" ht="15" hidden="false" customHeight="false" outlineLevel="0" collapsed="false">
      <c r="A1205" s="20" t="s">
        <v>1521</v>
      </c>
      <c r="B1205" s="9" t="s">
        <v>253</v>
      </c>
      <c r="C1205" s="9" t="s">
        <v>428</v>
      </c>
      <c r="D1205" s="9" t="n">
        <v>16</v>
      </c>
      <c r="E1205" s="30" t="n">
        <v>22928</v>
      </c>
      <c r="F1205" s="30" t="n">
        <v>9152</v>
      </c>
      <c r="G1205" s="35" t="n">
        <v>0.399162595952547</v>
      </c>
    </row>
    <row r="1206" customFormat="false" ht="15" hidden="false" customHeight="false" outlineLevel="0" collapsed="false">
      <c r="A1206" s="25" t="s">
        <v>1522</v>
      </c>
      <c r="B1206" s="29" t="s">
        <v>253</v>
      </c>
      <c r="C1206" s="29" t="s">
        <v>223</v>
      </c>
      <c r="D1206" s="29" t="n">
        <v>3</v>
      </c>
      <c r="E1206" s="31" t="n">
        <v>22887</v>
      </c>
      <c r="F1206" s="31" t="n">
        <v>7917</v>
      </c>
      <c r="G1206" s="37" t="n">
        <v>0.345916896054529</v>
      </c>
    </row>
    <row r="1207" customFormat="false" ht="15" hidden="false" customHeight="false" outlineLevel="0" collapsed="false">
      <c r="A1207" s="20" t="s">
        <v>1523</v>
      </c>
      <c r="B1207" s="20" t="s">
        <v>194</v>
      </c>
      <c r="C1207" s="9" t="s">
        <v>223</v>
      </c>
      <c r="D1207" s="9" t="n">
        <v>1</v>
      </c>
      <c r="E1207" s="30" t="n">
        <v>22869</v>
      </c>
      <c r="F1207" s="30" t="n">
        <v>15431</v>
      </c>
      <c r="G1207" s="35" t="n">
        <v>0.674756220210766</v>
      </c>
    </row>
    <row r="1208" customFormat="false" ht="15" hidden="false" customHeight="false" outlineLevel="0" collapsed="false">
      <c r="A1208" s="25" t="s">
        <v>1524</v>
      </c>
      <c r="B1208" s="25" t="s">
        <v>194</v>
      </c>
      <c r="C1208" s="29" t="s">
        <v>334</v>
      </c>
      <c r="D1208" s="29" t="n">
        <v>4</v>
      </c>
      <c r="E1208" s="31" t="n">
        <v>22792</v>
      </c>
      <c r="F1208" s="31" t="n">
        <v>12232</v>
      </c>
      <c r="G1208" s="37" t="n">
        <v>0.536679536679537</v>
      </c>
    </row>
    <row r="1209" customFormat="false" ht="15" hidden="false" customHeight="false" outlineLevel="0" collapsed="false">
      <c r="A1209" s="20" t="s">
        <v>1525</v>
      </c>
      <c r="B1209" s="20" t="s">
        <v>194</v>
      </c>
      <c r="C1209" s="9" t="s">
        <v>430</v>
      </c>
      <c r="D1209" s="9" t="n">
        <v>1</v>
      </c>
      <c r="E1209" s="30" t="n">
        <v>22715</v>
      </c>
      <c r="F1209" s="30" t="n">
        <v>7377</v>
      </c>
      <c r="G1209" s="35" t="n">
        <v>0.324763372220999</v>
      </c>
    </row>
    <row r="1210" customFormat="false" ht="15" hidden="false" customHeight="false" outlineLevel="0" collapsed="false">
      <c r="A1210" s="25" t="s">
        <v>1526</v>
      </c>
      <c r="B1210" s="29" t="s">
        <v>216</v>
      </c>
      <c r="C1210" s="29" t="s">
        <v>428</v>
      </c>
      <c r="D1210" s="29" t="n">
        <v>57</v>
      </c>
      <c r="E1210" s="31" t="n">
        <v>22686</v>
      </c>
      <c r="F1210" s="31" t="n">
        <v>2793</v>
      </c>
      <c r="G1210" s="37" t="n">
        <v>0.123115577889447</v>
      </c>
    </row>
    <row r="1211" customFormat="false" ht="15" hidden="false" customHeight="false" outlineLevel="0" collapsed="false">
      <c r="A1211" s="20" t="s">
        <v>1527</v>
      </c>
      <c r="B1211" s="20" t="s">
        <v>194</v>
      </c>
      <c r="C1211" s="9" t="s">
        <v>203</v>
      </c>
      <c r="D1211" s="9" t="n">
        <v>9</v>
      </c>
      <c r="E1211" s="30" t="n">
        <v>22653</v>
      </c>
      <c r="F1211" s="30" t="n">
        <v>3402</v>
      </c>
      <c r="G1211" s="35" t="n">
        <v>0.150178784266985</v>
      </c>
    </row>
    <row r="1212" customFormat="false" ht="15" hidden="false" customHeight="false" outlineLevel="0" collapsed="false">
      <c r="A1212" s="25" t="s">
        <v>1528</v>
      </c>
      <c r="B1212" s="25" t="s">
        <v>194</v>
      </c>
      <c r="C1212" s="29" t="s">
        <v>209</v>
      </c>
      <c r="D1212" s="29" t="n">
        <v>2</v>
      </c>
      <c r="E1212" s="31" t="n">
        <v>22646</v>
      </c>
      <c r="F1212" s="31" t="n">
        <v>-3498</v>
      </c>
      <c r="G1212" s="37" t="n">
        <v>-0.154464364567694</v>
      </c>
    </row>
    <row r="1213" customFormat="false" ht="15" hidden="false" customHeight="false" outlineLevel="0" collapsed="false">
      <c r="A1213" s="20" t="s">
        <v>1529</v>
      </c>
      <c r="B1213" s="20" t="s">
        <v>194</v>
      </c>
      <c r="C1213" s="9" t="s">
        <v>229</v>
      </c>
      <c r="D1213" s="9" t="n">
        <v>2</v>
      </c>
      <c r="E1213" s="30" t="n">
        <v>22544</v>
      </c>
      <c r="F1213" s="30" t="n">
        <v>12256</v>
      </c>
      <c r="G1213" s="35" t="n">
        <v>0.543647977288857</v>
      </c>
    </row>
    <row r="1214" customFormat="false" ht="15" hidden="false" customHeight="false" outlineLevel="0" collapsed="false">
      <c r="A1214" s="25" t="s">
        <v>1530</v>
      </c>
      <c r="B1214" s="25" t="s">
        <v>194</v>
      </c>
      <c r="C1214" s="29" t="s">
        <v>195</v>
      </c>
      <c r="D1214" s="29" t="n">
        <v>2</v>
      </c>
      <c r="E1214" s="31" t="n">
        <v>22506</v>
      </c>
      <c r="F1214" s="31" t="n">
        <v>15432</v>
      </c>
      <c r="G1214" s="37" t="n">
        <v>0.685683817648627</v>
      </c>
    </row>
    <row r="1215" customFormat="false" ht="15" hidden="false" customHeight="false" outlineLevel="0" collapsed="false">
      <c r="A1215" s="20" t="s">
        <v>1531</v>
      </c>
      <c r="B1215" s="20" t="s">
        <v>194</v>
      </c>
      <c r="C1215" s="9" t="s">
        <v>203</v>
      </c>
      <c r="D1215" s="9" t="n">
        <v>9</v>
      </c>
      <c r="E1215" s="30" t="n">
        <v>22446</v>
      </c>
      <c r="F1215" s="30" t="n">
        <v>18459</v>
      </c>
      <c r="G1215" s="35" t="n">
        <v>0.822373696872494</v>
      </c>
    </row>
    <row r="1216" customFormat="false" ht="15" hidden="false" customHeight="false" outlineLevel="0" collapsed="false">
      <c r="A1216" s="25" t="s">
        <v>1532</v>
      </c>
      <c r="B1216" s="25" t="s">
        <v>194</v>
      </c>
      <c r="C1216" s="29" t="s">
        <v>195</v>
      </c>
      <c r="D1216" s="29" t="n">
        <v>1</v>
      </c>
      <c r="E1216" s="31" t="n">
        <v>22374</v>
      </c>
      <c r="F1216" s="31" t="n">
        <v>3452</v>
      </c>
      <c r="G1216" s="37" t="n">
        <v>0.154286225082685</v>
      </c>
    </row>
    <row r="1217" customFormat="false" ht="15" hidden="false" customHeight="false" outlineLevel="0" collapsed="false">
      <c r="A1217" s="20" t="s">
        <v>1533</v>
      </c>
      <c r="B1217" s="20" t="s">
        <v>194</v>
      </c>
      <c r="C1217" s="9" t="s">
        <v>334</v>
      </c>
      <c r="D1217" s="9" t="n">
        <v>16</v>
      </c>
      <c r="E1217" s="30" t="n">
        <v>22320</v>
      </c>
      <c r="F1217" s="30" t="n">
        <v>14320</v>
      </c>
      <c r="G1217" s="35" t="n">
        <v>0.6415770609319</v>
      </c>
    </row>
    <row r="1218" customFormat="false" ht="15" hidden="false" customHeight="false" outlineLevel="0" collapsed="false">
      <c r="A1218" s="25" t="s">
        <v>1534</v>
      </c>
      <c r="B1218" s="25" t="s">
        <v>194</v>
      </c>
      <c r="C1218" s="29" t="s">
        <v>223</v>
      </c>
      <c r="D1218" s="29" t="n">
        <v>1</v>
      </c>
      <c r="E1218" s="31" t="n">
        <v>22211</v>
      </c>
      <c r="F1218" s="31" t="n">
        <v>6074</v>
      </c>
      <c r="G1218" s="37" t="n">
        <v>0.273468101391203</v>
      </c>
    </row>
    <row r="1219" customFormat="false" ht="15" hidden="false" customHeight="false" outlineLevel="0" collapsed="false">
      <c r="A1219" s="20" t="s">
        <v>1535</v>
      </c>
      <c r="B1219" s="20" t="s">
        <v>200</v>
      </c>
      <c r="C1219" s="9" t="s">
        <v>428</v>
      </c>
      <c r="D1219" s="9" t="n">
        <v>50</v>
      </c>
      <c r="E1219" s="30" t="n">
        <v>22200</v>
      </c>
      <c r="F1219" s="30" t="n">
        <v>4450</v>
      </c>
      <c r="G1219" s="35" t="n">
        <v>0.20045045045045</v>
      </c>
    </row>
    <row r="1220" customFormat="false" ht="15" hidden="false" customHeight="false" outlineLevel="0" collapsed="false">
      <c r="A1220" s="25" t="s">
        <v>1536</v>
      </c>
      <c r="B1220" s="25" t="s">
        <v>194</v>
      </c>
      <c r="C1220" s="29" t="s">
        <v>195</v>
      </c>
      <c r="D1220" s="29" t="n">
        <v>3</v>
      </c>
      <c r="E1220" s="31" t="n">
        <v>22155</v>
      </c>
      <c r="F1220" s="31" t="n">
        <v>3786</v>
      </c>
      <c r="G1220" s="37" t="n">
        <v>0.170886932972241</v>
      </c>
    </row>
    <row r="1221" customFormat="false" ht="15" hidden="false" customHeight="false" outlineLevel="0" collapsed="false">
      <c r="A1221" s="20" t="s">
        <v>1537</v>
      </c>
      <c r="B1221" s="9" t="s">
        <v>253</v>
      </c>
      <c r="C1221" s="9" t="s">
        <v>428</v>
      </c>
      <c r="D1221" s="9" t="n">
        <v>5</v>
      </c>
      <c r="E1221" s="30" t="n">
        <v>22115</v>
      </c>
      <c r="F1221" s="30" t="n">
        <v>17760</v>
      </c>
      <c r="G1221" s="35" t="n">
        <v>0.803074836084106</v>
      </c>
    </row>
    <row r="1222" customFormat="false" ht="15" hidden="false" customHeight="false" outlineLevel="0" collapsed="false">
      <c r="A1222" s="25" t="s">
        <v>1538</v>
      </c>
      <c r="B1222" s="29" t="s">
        <v>253</v>
      </c>
      <c r="C1222" s="29" t="s">
        <v>1539</v>
      </c>
      <c r="D1222" s="29" t="n">
        <v>58</v>
      </c>
      <c r="E1222" s="31" t="n">
        <v>22098</v>
      </c>
      <c r="F1222" s="31" t="n">
        <v>3315</v>
      </c>
      <c r="G1222" s="37" t="n">
        <v>0.150013575889221</v>
      </c>
    </row>
    <row r="1223" customFormat="false" ht="15" hidden="false" customHeight="false" outlineLevel="0" collapsed="false">
      <c r="A1223" s="20" t="s">
        <v>1540</v>
      </c>
      <c r="B1223" s="20" t="s">
        <v>194</v>
      </c>
      <c r="C1223" s="9" t="s">
        <v>217</v>
      </c>
      <c r="D1223" s="9" t="n">
        <v>37</v>
      </c>
      <c r="E1223" s="30" t="n">
        <v>22089</v>
      </c>
      <c r="F1223" s="30" t="n">
        <v>10767</v>
      </c>
      <c r="G1223" s="35" t="n">
        <v>0.487437185929648</v>
      </c>
    </row>
    <row r="1224" customFormat="false" ht="15" hidden="false" customHeight="false" outlineLevel="0" collapsed="false">
      <c r="A1224" s="25" t="s">
        <v>1541</v>
      </c>
      <c r="B1224" s="29" t="s">
        <v>216</v>
      </c>
      <c r="C1224" s="29" t="s">
        <v>428</v>
      </c>
      <c r="D1224" s="29" t="n">
        <v>20</v>
      </c>
      <c r="E1224" s="31" t="n">
        <v>22080</v>
      </c>
      <c r="F1224" s="31" t="n">
        <v>2120</v>
      </c>
      <c r="G1224" s="37" t="n">
        <v>0.0960144927536231</v>
      </c>
    </row>
    <row r="1225" customFormat="false" ht="15" hidden="false" customHeight="false" outlineLevel="0" collapsed="false">
      <c r="A1225" s="20" t="s">
        <v>1542</v>
      </c>
      <c r="B1225" s="9" t="s">
        <v>281</v>
      </c>
      <c r="C1225" s="9" t="s">
        <v>197</v>
      </c>
      <c r="D1225" s="9" t="n">
        <v>10</v>
      </c>
      <c r="E1225" s="30" t="n">
        <v>22060</v>
      </c>
      <c r="F1225" s="30" t="n">
        <v>14500</v>
      </c>
      <c r="G1225" s="35" t="n">
        <v>0.657298277425204</v>
      </c>
    </row>
    <row r="1226" customFormat="false" ht="15" hidden="false" customHeight="false" outlineLevel="0" collapsed="false">
      <c r="A1226" s="25" t="s">
        <v>1543</v>
      </c>
      <c r="B1226" s="25" t="s">
        <v>200</v>
      </c>
      <c r="C1226" s="29" t="s">
        <v>428</v>
      </c>
      <c r="D1226" s="29" t="n">
        <v>19</v>
      </c>
      <c r="E1226" s="31" t="n">
        <v>22021</v>
      </c>
      <c r="F1226" s="31" t="n">
        <v>14136</v>
      </c>
      <c r="G1226" s="37" t="n">
        <v>0.641932700603969</v>
      </c>
    </row>
    <row r="1227" customFormat="false" ht="15" hidden="false" customHeight="false" outlineLevel="0" collapsed="false">
      <c r="A1227" s="20" t="s">
        <v>1544</v>
      </c>
      <c r="B1227" s="9" t="s">
        <v>253</v>
      </c>
      <c r="C1227" s="9" t="s">
        <v>254</v>
      </c>
      <c r="D1227" s="9" t="n">
        <v>6</v>
      </c>
      <c r="E1227" s="30" t="n">
        <v>21972</v>
      </c>
      <c r="F1227" s="30" t="n">
        <v>5382</v>
      </c>
      <c r="G1227" s="35" t="n">
        <v>0.244948115783725</v>
      </c>
    </row>
    <row r="1228" customFormat="false" ht="15" hidden="false" customHeight="false" outlineLevel="0" collapsed="false">
      <c r="A1228" s="25" t="s">
        <v>1545</v>
      </c>
      <c r="B1228" s="25" t="s">
        <v>194</v>
      </c>
      <c r="C1228" s="29" t="s">
        <v>1020</v>
      </c>
      <c r="D1228" s="29" t="n">
        <v>12</v>
      </c>
      <c r="E1228" s="31" t="n">
        <v>21864</v>
      </c>
      <c r="F1228" s="31" t="n">
        <v>9450</v>
      </c>
      <c r="G1228" s="37" t="n">
        <v>0.432217343578485</v>
      </c>
    </row>
    <row r="1229" customFormat="false" ht="15" hidden="false" customHeight="false" outlineLevel="0" collapsed="false">
      <c r="A1229" s="20" t="s">
        <v>1546</v>
      </c>
      <c r="B1229" s="20" t="s">
        <v>194</v>
      </c>
      <c r="C1229" s="9" t="s">
        <v>203</v>
      </c>
      <c r="D1229" s="9" t="n">
        <v>10</v>
      </c>
      <c r="E1229" s="30" t="n">
        <v>21800</v>
      </c>
      <c r="F1229" s="30" t="n">
        <v>3300</v>
      </c>
      <c r="G1229" s="35" t="n">
        <v>0.151376146788991</v>
      </c>
    </row>
    <row r="1230" customFormat="false" ht="15" hidden="false" customHeight="false" outlineLevel="0" collapsed="false">
      <c r="A1230" s="25" t="s">
        <v>1547</v>
      </c>
      <c r="B1230" s="25" t="s">
        <v>194</v>
      </c>
      <c r="C1230" s="29" t="s">
        <v>368</v>
      </c>
      <c r="D1230" s="29" t="n">
        <v>12</v>
      </c>
      <c r="E1230" s="31" t="n">
        <v>21780</v>
      </c>
      <c r="F1230" s="31" t="n">
        <v>3270</v>
      </c>
      <c r="G1230" s="37" t="n">
        <v>0.150137741046832</v>
      </c>
    </row>
    <row r="1231" customFormat="false" ht="15" hidden="false" customHeight="false" outlineLevel="0" collapsed="false">
      <c r="A1231" s="20" t="s">
        <v>1548</v>
      </c>
      <c r="B1231" s="9" t="s">
        <v>253</v>
      </c>
      <c r="C1231" s="9" t="s">
        <v>223</v>
      </c>
      <c r="D1231" s="9" t="n">
        <v>5</v>
      </c>
      <c r="E1231" s="30" t="n">
        <v>21750</v>
      </c>
      <c r="F1231" s="30" t="n">
        <v>6675</v>
      </c>
      <c r="G1231" s="35" t="n">
        <v>0.306896551724138</v>
      </c>
    </row>
    <row r="1232" customFormat="false" ht="15" hidden="false" customHeight="false" outlineLevel="0" collapsed="false">
      <c r="A1232" s="25" t="s">
        <v>1549</v>
      </c>
      <c r="B1232" s="25" t="s">
        <v>194</v>
      </c>
      <c r="C1232" s="29" t="s">
        <v>295</v>
      </c>
      <c r="D1232" s="29" t="n">
        <v>5</v>
      </c>
      <c r="E1232" s="31" t="n">
        <v>21745</v>
      </c>
      <c r="F1232" s="31" t="n">
        <v>5480</v>
      </c>
      <c r="G1232" s="37" t="n">
        <v>0.252011956771672</v>
      </c>
    </row>
    <row r="1233" customFormat="false" ht="15" hidden="false" customHeight="false" outlineLevel="0" collapsed="false">
      <c r="A1233" s="20" t="s">
        <v>1550</v>
      </c>
      <c r="B1233" s="20" t="s">
        <v>200</v>
      </c>
      <c r="C1233" s="9" t="s">
        <v>880</v>
      </c>
      <c r="D1233" s="9" t="n">
        <v>1</v>
      </c>
      <c r="E1233" s="30" t="n">
        <v>21706</v>
      </c>
      <c r="F1233" s="30" t="n">
        <v>6260</v>
      </c>
      <c r="G1233" s="35" t="n">
        <v>0.288399520869806</v>
      </c>
    </row>
    <row r="1234" customFormat="false" ht="15" hidden="false" customHeight="false" outlineLevel="0" collapsed="false">
      <c r="A1234" s="25" t="s">
        <v>1551</v>
      </c>
      <c r="B1234" s="25" t="s">
        <v>240</v>
      </c>
      <c r="C1234" s="29" t="s">
        <v>223</v>
      </c>
      <c r="D1234" s="29" t="n">
        <v>5</v>
      </c>
      <c r="E1234" s="31" t="n">
        <v>21690</v>
      </c>
      <c r="F1234" s="31" t="n">
        <v>5955</v>
      </c>
      <c r="G1234" s="37" t="n">
        <v>0.274550484094053</v>
      </c>
    </row>
    <row r="1235" customFormat="false" ht="15" hidden="false" customHeight="false" outlineLevel="0" collapsed="false">
      <c r="A1235" s="20" t="s">
        <v>1552</v>
      </c>
      <c r="B1235" s="20" t="s">
        <v>200</v>
      </c>
      <c r="C1235" s="9" t="s">
        <v>768</v>
      </c>
      <c r="D1235" s="9" t="n">
        <v>5</v>
      </c>
      <c r="E1235" s="30" t="n">
        <v>21685</v>
      </c>
      <c r="F1235" s="30" t="n">
        <v>1310</v>
      </c>
      <c r="G1235" s="35" t="n">
        <v>0.0604104219506571</v>
      </c>
    </row>
    <row r="1236" customFormat="false" ht="15" hidden="false" customHeight="false" outlineLevel="0" collapsed="false">
      <c r="A1236" s="25" t="s">
        <v>1553</v>
      </c>
      <c r="B1236" s="25" t="s">
        <v>194</v>
      </c>
      <c r="C1236" s="29" t="s">
        <v>195</v>
      </c>
      <c r="D1236" s="29" t="n">
        <v>3</v>
      </c>
      <c r="E1236" s="31" t="n">
        <v>21672</v>
      </c>
      <c r="F1236" s="31" t="n">
        <v>-3606</v>
      </c>
      <c r="G1236" s="37" t="n">
        <v>-0.166389811738649</v>
      </c>
    </row>
    <row r="1237" customFormat="false" ht="15" hidden="false" customHeight="false" outlineLevel="0" collapsed="false">
      <c r="A1237" s="20" t="s">
        <v>1554</v>
      </c>
      <c r="B1237" s="20" t="s">
        <v>194</v>
      </c>
      <c r="C1237" s="9" t="s">
        <v>223</v>
      </c>
      <c r="D1237" s="9" t="n">
        <v>9</v>
      </c>
      <c r="E1237" s="30" t="n">
        <v>21572</v>
      </c>
      <c r="F1237" s="30" t="n">
        <v>4301</v>
      </c>
      <c r="G1237" s="35" t="n">
        <v>0.199378824402003</v>
      </c>
    </row>
    <row r="1238" customFormat="false" ht="15" hidden="false" customHeight="false" outlineLevel="0" collapsed="false">
      <c r="A1238" s="25" t="s">
        <v>1555</v>
      </c>
      <c r="B1238" s="25" t="s">
        <v>194</v>
      </c>
      <c r="C1238" s="29" t="s">
        <v>203</v>
      </c>
      <c r="D1238" s="29" t="n">
        <v>6</v>
      </c>
      <c r="E1238" s="31" t="n">
        <v>21528</v>
      </c>
      <c r="F1238" s="31" t="n">
        <v>5154</v>
      </c>
      <c r="G1238" s="37" t="n">
        <v>0.239409141583055</v>
      </c>
    </row>
    <row r="1239" customFormat="false" ht="15" hidden="false" customHeight="false" outlineLevel="0" collapsed="false">
      <c r="A1239" s="20" t="s">
        <v>1556</v>
      </c>
      <c r="B1239" s="9" t="s">
        <v>253</v>
      </c>
      <c r="C1239" s="9" t="s">
        <v>254</v>
      </c>
      <c r="D1239" s="9" t="n">
        <v>10</v>
      </c>
      <c r="E1239" s="30" t="n">
        <v>21450</v>
      </c>
      <c r="F1239" s="30" t="n">
        <v>19360</v>
      </c>
      <c r="G1239" s="35" t="n">
        <v>0.902564102564103</v>
      </c>
    </row>
    <row r="1240" customFormat="false" ht="15" hidden="false" customHeight="false" outlineLevel="0" collapsed="false">
      <c r="A1240" s="25" t="s">
        <v>1557</v>
      </c>
      <c r="B1240" s="25" t="s">
        <v>220</v>
      </c>
      <c r="C1240" s="29" t="s">
        <v>217</v>
      </c>
      <c r="D1240" s="29" t="n">
        <v>1</v>
      </c>
      <c r="E1240" s="31" t="n">
        <v>21429</v>
      </c>
      <c r="F1240" s="31" t="n">
        <v>4806</v>
      </c>
      <c r="G1240" s="37" t="n">
        <v>0.22427551448971</v>
      </c>
    </row>
    <row r="1241" customFormat="false" ht="15" hidden="false" customHeight="false" outlineLevel="0" collapsed="false">
      <c r="A1241" s="20" t="s">
        <v>1558</v>
      </c>
      <c r="B1241" s="20" t="s">
        <v>194</v>
      </c>
      <c r="C1241" s="9" t="s">
        <v>209</v>
      </c>
      <c r="D1241" s="9" t="n">
        <v>12</v>
      </c>
      <c r="E1241" s="30" t="n">
        <v>21360</v>
      </c>
      <c r="F1241" s="30" t="n">
        <v>13692</v>
      </c>
      <c r="G1241" s="35" t="n">
        <v>0.641011235955056</v>
      </c>
    </row>
    <row r="1242" customFormat="false" ht="15" hidden="false" customHeight="false" outlineLevel="0" collapsed="false">
      <c r="A1242" s="25" t="s">
        <v>1559</v>
      </c>
      <c r="B1242" s="29" t="s">
        <v>253</v>
      </c>
      <c r="C1242" s="29" t="s">
        <v>223</v>
      </c>
      <c r="D1242" s="29" t="n">
        <v>2</v>
      </c>
      <c r="E1242" s="31" t="n">
        <v>21352</v>
      </c>
      <c r="F1242" s="31" t="n">
        <v>7194</v>
      </c>
      <c r="G1242" s="37" t="n">
        <v>0.336923941551143</v>
      </c>
    </row>
    <row r="1243" customFormat="false" ht="15" hidden="false" customHeight="false" outlineLevel="0" collapsed="false">
      <c r="A1243" s="20" t="s">
        <v>1560</v>
      </c>
      <c r="B1243" s="20" t="s">
        <v>194</v>
      </c>
      <c r="C1243" s="9" t="s">
        <v>880</v>
      </c>
      <c r="D1243" s="9" t="n">
        <v>2</v>
      </c>
      <c r="E1243" s="30" t="n">
        <v>21308</v>
      </c>
      <c r="F1243" s="30" t="n">
        <v>3196</v>
      </c>
      <c r="G1243" s="35" t="n">
        <v>0.149990613853952</v>
      </c>
    </row>
    <row r="1244" customFormat="false" ht="15" hidden="false" customHeight="false" outlineLevel="0" collapsed="false">
      <c r="A1244" s="25" t="s">
        <v>1561</v>
      </c>
      <c r="B1244" s="25" t="s">
        <v>194</v>
      </c>
      <c r="C1244" s="29" t="s">
        <v>203</v>
      </c>
      <c r="D1244" s="29" t="n">
        <v>35</v>
      </c>
      <c r="E1244" s="31" t="n">
        <v>21245</v>
      </c>
      <c r="F1244" s="31" t="n">
        <v>4620</v>
      </c>
      <c r="G1244" s="37" t="n">
        <v>0.217462932454695</v>
      </c>
    </row>
    <row r="1245" customFormat="false" ht="15" hidden="false" customHeight="false" outlineLevel="0" collapsed="false">
      <c r="A1245" s="20" t="s">
        <v>1562</v>
      </c>
      <c r="B1245" s="20" t="s">
        <v>194</v>
      </c>
      <c r="C1245" s="9" t="s">
        <v>334</v>
      </c>
      <c r="D1245" s="9" t="n">
        <v>52</v>
      </c>
      <c r="E1245" s="30" t="n">
        <v>21216</v>
      </c>
      <c r="F1245" s="30" t="n">
        <v>8268</v>
      </c>
      <c r="G1245" s="35" t="n">
        <v>0.389705882352941</v>
      </c>
    </row>
    <row r="1246" customFormat="false" ht="15" hidden="false" customHeight="false" outlineLevel="0" collapsed="false">
      <c r="A1246" s="25" t="s">
        <v>1563</v>
      </c>
      <c r="B1246" s="29" t="s">
        <v>253</v>
      </c>
      <c r="C1246" s="29" t="s">
        <v>428</v>
      </c>
      <c r="D1246" s="29" t="n">
        <v>30</v>
      </c>
      <c r="E1246" s="31" t="n">
        <v>21120</v>
      </c>
      <c r="F1246" s="31" t="n">
        <v>13560</v>
      </c>
      <c r="G1246" s="37" t="n">
        <v>0.642045454545455</v>
      </c>
    </row>
    <row r="1247" customFormat="false" ht="15" hidden="false" customHeight="false" outlineLevel="0" collapsed="false">
      <c r="A1247" s="20" t="s">
        <v>1564</v>
      </c>
      <c r="B1247" s="20" t="s">
        <v>194</v>
      </c>
      <c r="C1247" s="9" t="s">
        <v>368</v>
      </c>
      <c r="D1247" s="9" t="n">
        <v>9</v>
      </c>
      <c r="E1247" s="30" t="n">
        <v>21078</v>
      </c>
      <c r="F1247" s="30" t="n">
        <v>11879</v>
      </c>
      <c r="G1247" s="35" t="n">
        <v>0.563573394060158</v>
      </c>
    </row>
    <row r="1248" customFormat="false" ht="15" hidden="false" customHeight="false" outlineLevel="0" collapsed="false">
      <c r="A1248" s="25" t="s">
        <v>1565</v>
      </c>
      <c r="B1248" s="29" t="s">
        <v>253</v>
      </c>
      <c r="C1248" s="29" t="s">
        <v>428</v>
      </c>
      <c r="D1248" s="29" t="n">
        <v>5</v>
      </c>
      <c r="E1248" s="31" t="n">
        <v>21035</v>
      </c>
      <c r="F1248" s="31" t="n">
        <v>16890</v>
      </c>
      <c r="G1248" s="37" t="n">
        <v>0.802947468504873</v>
      </c>
    </row>
    <row r="1249" customFormat="false" ht="15" hidden="false" customHeight="false" outlineLevel="0" collapsed="false">
      <c r="A1249" s="20" t="s">
        <v>1566</v>
      </c>
      <c r="B1249" s="20" t="s">
        <v>194</v>
      </c>
      <c r="C1249" s="9" t="s">
        <v>297</v>
      </c>
      <c r="D1249" s="9" t="n">
        <v>1</v>
      </c>
      <c r="E1249" s="30" t="n">
        <v>21025</v>
      </c>
      <c r="F1249" s="30" t="n">
        <v>3154</v>
      </c>
      <c r="G1249" s="35" t="n">
        <v>0.150011890606421</v>
      </c>
    </row>
    <row r="1250" customFormat="false" ht="15" hidden="false" customHeight="false" outlineLevel="0" collapsed="false">
      <c r="A1250" s="25" t="s">
        <v>1567</v>
      </c>
      <c r="B1250" s="25" t="s">
        <v>194</v>
      </c>
      <c r="C1250" s="29" t="s">
        <v>334</v>
      </c>
      <c r="D1250" s="29" t="n">
        <v>4</v>
      </c>
      <c r="E1250" s="31" t="n">
        <v>21012</v>
      </c>
      <c r="F1250" s="31" t="n">
        <v>7880</v>
      </c>
      <c r="G1250" s="37" t="n">
        <v>0.375023795926137</v>
      </c>
    </row>
    <row r="1251" customFormat="false" ht="15" hidden="false" customHeight="false" outlineLevel="0" collapsed="false">
      <c r="A1251" s="20" t="s">
        <v>1568</v>
      </c>
      <c r="B1251" s="20" t="s">
        <v>220</v>
      </c>
      <c r="C1251" s="9" t="s">
        <v>297</v>
      </c>
      <c r="D1251" s="9" t="n">
        <v>1</v>
      </c>
      <c r="E1251" s="30" t="n">
        <v>21000</v>
      </c>
      <c r="F1251" s="30" t="n">
        <v>6928</v>
      </c>
      <c r="G1251" s="35" t="n">
        <v>0.329904761904762</v>
      </c>
    </row>
    <row r="1252" customFormat="false" ht="15" hidden="false" customHeight="false" outlineLevel="0" collapsed="false">
      <c r="A1252" s="25" t="s">
        <v>1569</v>
      </c>
      <c r="B1252" s="29" t="s">
        <v>253</v>
      </c>
      <c r="C1252" s="29" t="s">
        <v>229</v>
      </c>
      <c r="D1252" s="29" t="n">
        <v>24</v>
      </c>
      <c r="E1252" s="31" t="n">
        <v>20928</v>
      </c>
      <c r="F1252" s="31" t="n">
        <v>3288</v>
      </c>
      <c r="G1252" s="37" t="n">
        <v>0.157110091743119</v>
      </c>
    </row>
    <row r="1253" customFormat="false" ht="15" hidden="false" customHeight="false" outlineLevel="0" collapsed="false">
      <c r="A1253" s="20" t="s">
        <v>1570</v>
      </c>
      <c r="B1253" s="20" t="s">
        <v>200</v>
      </c>
      <c r="C1253" s="9" t="s">
        <v>1009</v>
      </c>
      <c r="D1253" s="9" t="n">
        <v>2</v>
      </c>
      <c r="E1253" s="30" t="n">
        <v>20926</v>
      </c>
      <c r="F1253" s="30" t="n">
        <v>7000</v>
      </c>
      <c r="G1253" s="35" t="n">
        <v>0.334512090222689</v>
      </c>
    </row>
    <row r="1254" customFormat="false" ht="15" hidden="false" customHeight="false" outlineLevel="0" collapsed="false">
      <c r="A1254" s="25" t="s">
        <v>1571</v>
      </c>
      <c r="B1254" s="29" t="s">
        <v>253</v>
      </c>
      <c r="C1254" s="29" t="s">
        <v>428</v>
      </c>
      <c r="D1254" s="29" t="n">
        <v>14</v>
      </c>
      <c r="E1254" s="31" t="n">
        <v>20874</v>
      </c>
      <c r="F1254" s="31" t="n">
        <v>2506</v>
      </c>
      <c r="G1254" s="37" t="n">
        <v>0.120053655264923</v>
      </c>
    </row>
    <row r="1255" customFormat="false" ht="15" hidden="false" customHeight="false" outlineLevel="0" collapsed="false">
      <c r="A1255" s="20" t="s">
        <v>1572</v>
      </c>
      <c r="B1255" s="20" t="s">
        <v>200</v>
      </c>
      <c r="C1255" s="9" t="s">
        <v>428</v>
      </c>
      <c r="D1255" s="9" t="n">
        <v>35</v>
      </c>
      <c r="E1255" s="30" t="n">
        <v>20825</v>
      </c>
      <c r="F1255" s="30" t="n">
        <v>8575</v>
      </c>
      <c r="G1255" s="35" t="n">
        <v>0.411764705882353</v>
      </c>
    </row>
    <row r="1256" customFormat="false" ht="15" hidden="false" customHeight="false" outlineLevel="0" collapsed="false">
      <c r="A1256" s="25" t="s">
        <v>1573</v>
      </c>
      <c r="B1256" s="25" t="s">
        <v>194</v>
      </c>
      <c r="C1256" s="29" t="s">
        <v>254</v>
      </c>
      <c r="D1256" s="29" t="n">
        <v>4</v>
      </c>
      <c r="E1256" s="31" t="n">
        <v>20824</v>
      </c>
      <c r="F1256" s="31" t="n">
        <v>11476</v>
      </c>
      <c r="G1256" s="37" t="n">
        <v>0.551094890510949</v>
      </c>
    </row>
    <row r="1257" customFormat="false" ht="15" hidden="false" customHeight="false" outlineLevel="0" collapsed="false">
      <c r="A1257" s="20" t="s">
        <v>1574</v>
      </c>
      <c r="B1257" s="20" t="s">
        <v>194</v>
      </c>
      <c r="C1257" s="9" t="s">
        <v>203</v>
      </c>
      <c r="D1257" s="9" t="n">
        <v>1</v>
      </c>
      <c r="E1257" s="30" t="n">
        <v>20777</v>
      </c>
      <c r="F1257" s="30" t="n">
        <v>3874</v>
      </c>
      <c r="G1257" s="35" t="n">
        <v>0.186456177503971</v>
      </c>
    </row>
    <row r="1258" customFormat="false" ht="15" hidden="false" customHeight="false" outlineLevel="0" collapsed="false">
      <c r="A1258" s="25" t="s">
        <v>1575</v>
      </c>
      <c r="B1258" s="29" t="s">
        <v>1262</v>
      </c>
      <c r="C1258" s="29" t="s">
        <v>428</v>
      </c>
      <c r="D1258" s="29" t="n">
        <v>8</v>
      </c>
      <c r="E1258" s="31" t="n">
        <v>20728</v>
      </c>
      <c r="F1258" s="31" t="n">
        <v>9416</v>
      </c>
      <c r="G1258" s="37" t="n">
        <v>0.454264762639907</v>
      </c>
    </row>
    <row r="1259" customFormat="false" ht="15" hidden="false" customHeight="false" outlineLevel="0" collapsed="false">
      <c r="A1259" s="20" t="s">
        <v>1576</v>
      </c>
      <c r="B1259" s="20" t="s">
        <v>194</v>
      </c>
      <c r="C1259" s="9" t="s">
        <v>880</v>
      </c>
      <c r="D1259" s="9" t="n">
        <v>1</v>
      </c>
      <c r="E1259" s="30" t="n">
        <v>20664</v>
      </c>
      <c r="F1259" s="30" t="n">
        <v>3100</v>
      </c>
      <c r="G1259" s="35" t="n">
        <v>0.150019357336431</v>
      </c>
    </row>
    <row r="1260" customFormat="false" ht="15" hidden="false" customHeight="false" outlineLevel="0" collapsed="false">
      <c r="A1260" s="25" t="s">
        <v>1577</v>
      </c>
      <c r="B1260" s="29" t="s">
        <v>1262</v>
      </c>
      <c r="C1260" s="29" t="s">
        <v>428</v>
      </c>
      <c r="D1260" s="29" t="n">
        <v>8</v>
      </c>
      <c r="E1260" s="31" t="n">
        <v>20648</v>
      </c>
      <c r="F1260" s="31" t="n">
        <v>9336</v>
      </c>
      <c r="G1260" s="37" t="n">
        <v>0.452150329329717</v>
      </c>
    </row>
    <row r="1261" customFormat="false" ht="15" hidden="false" customHeight="false" outlineLevel="0" collapsed="false">
      <c r="A1261" s="20" t="s">
        <v>1578</v>
      </c>
      <c r="B1261" s="20" t="s">
        <v>194</v>
      </c>
      <c r="C1261" s="9" t="s">
        <v>203</v>
      </c>
      <c r="D1261" s="9" t="n">
        <v>17</v>
      </c>
      <c r="E1261" s="30" t="n">
        <v>20604</v>
      </c>
      <c r="F1261" s="30" t="n">
        <v>15504</v>
      </c>
      <c r="G1261" s="35" t="n">
        <v>0.752475247524753</v>
      </c>
    </row>
    <row r="1262" customFormat="false" ht="15" hidden="false" customHeight="false" outlineLevel="0" collapsed="false">
      <c r="A1262" s="25" t="s">
        <v>1579</v>
      </c>
      <c r="B1262" s="25" t="s">
        <v>200</v>
      </c>
      <c r="C1262" s="29" t="s">
        <v>880</v>
      </c>
      <c r="D1262" s="29" t="n">
        <v>1</v>
      </c>
      <c r="E1262" s="31" t="n">
        <v>20458</v>
      </c>
      <c r="F1262" s="31" t="n">
        <v>3707</v>
      </c>
      <c r="G1262" s="37" t="n">
        <v>0.181200508358588</v>
      </c>
    </row>
    <row r="1263" customFormat="false" ht="15" hidden="false" customHeight="false" outlineLevel="0" collapsed="false">
      <c r="A1263" s="20" t="s">
        <v>1580</v>
      </c>
      <c r="B1263" s="20" t="s">
        <v>1581</v>
      </c>
      <c r="C1263" s="9" t="s">
        <v>334</v>
      </c>
      <c r="D1263" s="9" t="n">
        <v>37</v>
      </c>
      <c r="E1263" s="30" t="n">
        <v>20350</v>
      </c>
      <c r="F1263" s="30" t="n">
        <v>3052</v>
      </c>
      <c r="G1263" s="35" t="n">
        <v>0.14997542997543</v>
      </c>
    </row>
    <row r="1264" customFormat="false" ht="15" hidden="false" customHeight="false" outlineLevel="0" collapsed="false">
      <c r="A1264" s="25" t="s">
        <v>1582</v>
      </c>
      <c r="B1264" s="25" t="s">
        <v>194</v>
      </c>
      <c r="C1264" s="29" t="s">
        <v>203</v>
      </c>
      <c r="D1264" s="29" t="n">
        <v>8</v>
      </c>
      <c r="E1264" s="31" t="n">
        <v>20088</v>
      </c>
      <c r="F1264" s="31" t="n">
        <v>6648</v>
      </c>
      <c r="G1264" s="37" t="n">
        <v>0.330943847072879</v>
      </c>
    </row>
    <row r="1265" customFormat="false" ht="15" hidden="false" customHeight="false" outlineLevel="0" collapsed="false">
      <c r="A1265" s="20" t="s">
        <v>1583</v>
      </c>
      <c r="B1265" s="20" t="s">
        <v>194</v>
      </c>
      <c r="C1265" s="9" t="s">
        <v>430</v>
      </c>
      <c r="D1265" s="9" t="n">
        <v>1</v>
      </c>
      <c r="E1265" s="30" t="n">
        <v>20084</v>
      </c>
      <c r="F1265" s="30" t="n">
        <v>4126</v>
      </c>
      <c r="G1265" s="35" t="n">
        <v>0.205437163911571</v>
      </c>
    </row>
    <row r="1266" customFormat="false" ht="15" hidden="false" customHeight="false" outlineLevel="0" collapsed="false">
      <c r="A1266" s="25" t="s">
        <v>1584</v>
      </c>
      <c r="B1266" s="25" t="s">
        <v>194</v>
      </c>
      <c r="C1266" s="29" t="s">
        <v>380</v>
      </c>
      <c r="D1266" s="29" t="n">
        <v>7</v>
      </c>
      <c r="E1266" s="31" t="n">
        <v>20076</v>
      </c>
      <c r="F1266" s="31" t="n">
        <v>3010</v>
      </c>
      <c r="G1266" s="37" t="n">
        <v>0.149930264993027</v>
      </c>
    </row>
    <row r="1267" customFormat="false" ht="15" hidden="false" customHeight="false" outlineLevel="0" collapsed="false">
      <c r="A1267" s="20" t="s">
        <v>1585</v>
      </c>
      <c r="B1267" s="9" t="s">
        <v>253</v>
      </c>
      <c r="C1267" s="9" t="s">
        <v>428</v>
      </c>
      <c r="D1267" s="9" t="n">
        <v>8</v>
      </c>
      <c r="E1267" s="30" t="n">
        <v>20008</v>
      </c>
      <c r="F1267" s="30" t="n">
        <v>9192</v>
      </c>
      <c r="G1267" s="35" t="n">
        <v>0.459416233506597</v>
      </c>
    </row>
    <row r="1268" customFormat="false" ht="15" hidden="false" customHeight="false" outlineLevel="0" collapsed="false">
      <c r="A1268" s="25" t="s">
        <v>1586</v>
      </c>
      <c r="B1268" s="29" t="s">
        <v>216</v>
      </c>
      <c r="C1268" s="29" t="s">
        <v>223</v>
      </c>
      <c r="D1268" s="29" t="n">
        <v>21</v>
      </c>
      <c r="E1268" s="31" t="n">
        <v>19992</v>
      </c>
      <c r="F1268" s="31" t="n">
        <v>12642</v>
      </c>
      <c r="G1268" s="37" t="n">
        <v>0.632352941176471</v>
      </c>
    </row>
    <row r="1269" customFormat="false" ht="15" hidden="false" customHeight="false" outlineLevel="0" collapsed="false">
      <c r="A1269" s="20" t="s">
        <v>1587</v>
      </c>
      <c r="B1269" s="20" t="s">
        <v>194</v>
      </c>
      <c r="C1269" s="9" t="s">
        <v>368</v>
      </c>
      <c r="D1269" s="9" t="n">
        <v>5</v>
      </c>
      <c r="E1269" s="30" t="n">
        <v>19950</v>
      </c>
      <c r="F1269" s="30" t="n">
        <v>10210</v>
      </c>
      <c r="G1269" s="35" t="n">
        <v>0.511779448621554</v>
      </c>
    </row>
    <row r="1270" customFormat="false" ht="15" hidden="false" customHeight="false" outlineLevel="0" collapsed="false">
      <c r="A1270" s="25" t="s">
        <v>1588</v>
      </c>
      <c r="B1270" s="25" t="s">
        <v>1589</v>
      </c>
      <c r="C1270" s="29" t="s">
        <v>428</v>
      </c>
      <c r="D1270" s="29" t="n">
        <v>6</v>
      </c>
      <c r="E1270" s="31" t="n">
        <v>19938</v>
      </c>
      <c r="F1270" s="31" t="n">
        <v>8814</v>
      </c>
      <c r="G1270" s="37" t="n">
        <v>0.44207041829672</v>
      </c>
    </row>
    <row r="1271" customFormat="false" ht="15" hidden="false" customHeight="false" outlineLevel="0" collapsed="false">
      <c r="A1271" s="20" t="s">
        <v>1590</v>
      </c>
      <c r="B1271" s="20" t="s">
        <v>194</v>
      </c>
      <c r="C1271" s="9" t="s">
        <v>254</v>
      </c>
      <c r="D1271" s="9" t="n">
        <v>4</v>
      </c>
      <c r="E1271" s="30" t="n">
        <v>19892</v>
      </c>
      <c r="F1271" s="30" t="n">
        <v>10736</v>
      </c>
      <c r="G1271" s="35" t="n">
        <v>0.539714458073597</v>
      </c>
    </row>
    <row r="1272" customFormat="false" ht="15" hidden="false" customHeight="false" outlineLevel="0" collapsed="false">
      <c r="A1272" s="25" t="s">
        <v>1591</v>
      </c>
      <c r="B1272" s="29" t="s">
        <v>216</v>
      </c>
      <c r="C1272" s="29" t="s">
        <v>428</v>
      </c>
      <c r="D1272" s="29" t="n">
        <v>8</v>
      </c>
      <c r="E1272" s="31" t="n">
        <v>19888</v>
      </c>
      <c r="F1272" s="31" t="n">
        <v>7320</v>
      </c>
      <c r="G1272" s="37" t="n">
        <v>0.368061142397426</v>
      </c>
    </row>
    <row r="1273" customFormat="false" ht="15" hidden="false" customHeight="false" outlineLevel="0" collapsed="false">
      <c r="A1273" s="20" t="s">
        <v>1592</v>
      </c>
      <c r="B1273" s="20" t="s">
        <v>194</v>
      </c>
      <c r="C1273" s="9" t="s">
        <v>203</v>
      </c>
      <c r="D1273" s="9" t="n">
        <v>10</v>
      </c>
      <c r="E1273" s="30" t="n">
        <v>19770</v>
      </c>
      <c r="F1273" s="30" t="n">
        <v>2970</v>
      </c>
      <c r="G1273" s="35" t="n">
        <v>0.150227617602428</v>
      </c>
    </row>
    <row r="1274" customFormat="false" ht="15" hidden="false" customHeight="false" outlineLevel="0" collapsed="false">
      <c r="A1274" s="25" t="s">
        <v>1593</v>
      </c>
      <c r="B1274" s="25" t="s">
        <v>194</v>
      </c>
      <c r="C1274" s="29" t="s">
        <v>485</v>
      </c>
      <c r="D1274" s="29" t="n">
        <v>1</v>
      </c>
      <c r="E1274" s="31" t="n">
        <v>19694</v>
      </c>
      <c r="F1274" s="31" t="n">
        <v>8236</v>
      </c>
      <c r="G1274" s="37" t="n">
        <v>0.4181984360719</v>
      </c>
    </row>
    <row r="1275" customFormat="false" ht="15" hidden="false" customHeight="false" outlineLevel="0" collapsed="false">
      <c r="A1275" s="20" t="s">
        <v>1594</v>
      </c>
      <c r="B1275" s="20" t="s">
        <v>194</v>
      </c>
      <c r="C1275" s="9" t="s">
        <v>360</v>
      </c>
      <c r="D1275" s="9" t="n">
        <v>2</v>
      </c>
      <c r="E1275" s="30" t="n">
        <v>19640</v>
      </c>
      <c r="F1275" s="30" t="n">
        <v>6236</v>
      </c>
      <c r="G1275" s="35" t="n">
        <v>0.317515274949084</v>
      </c>
    </row>
    <row r="1276" customFormat="false" ht="15" hidden="false" customHeight="false" outlineLevel="0" collapsed="false">
      <c r="A1276" s="25" t="s">
        <v>1595</v>
      </c>
      <c r="B1276" s="25" t="s">
        <v>194</v>
      </c>
      <c r="C1276" s="29" t="s">
        <v>254</v>
      </c>
      <c r="D1276" s="29" t="n">
        <v>4</v>
      </c>
      <c r="E1276" s="31" t="n">
        <v>19568</v>
      </c>
      <c r="F1276" s="31" t="n">
        <v>11376</v>
      </c>
      <c r="G1276" s="37" t="n">
        <v>0.581357318070319</v>
      </c>
    </row>
    <row r="1277" customFormat="false" ht="15" hidden="false" customHeight="false" outlineLevel="0" collapsed="false">
      <c r="A1277" s="20" t="s">
        <v>1596</v>
      </c>
      <c r="B1277" s="20" t="s">
        <v>194</v>
      </c>
      <c r="C1277" s="9" t="s">
        <v>203</v>
      </c>
      <c r="D1277" s="9" t="n">
        <v>10</v>
      </c>
      <c r="E1277" s="30" t="n">
        <v>19450</v>
      </c>
      <c r="F1277" s="30" t="n">
        <v>9430</v>
      </c>
      <c r="G1277" s="35" t="n">
        <v>0.484832904884319</v>
      </c>
    </row>
    <row r="1278" customFormat="false" ht="15" hidden="false" customHeight="false" outlineLevel="0" collapsed="false">
      <c r="A1278" s="25" t="s">
        <v>1597</v>
      </c>
      <c r="B1278" s="25" t="s">
        <v>194</v>
      </c>
      <c r="C1278" s="29" t="s">
        <v>880</v>
      </c>
      <c r="D1278" s="29" t="n">
        <v>1</v>
      </c>
      <c r="E1278" s="31" t="n">
        <v>19323</v>
      </c>
      <c r="F1278" s="31" t="n">
        <v>17573</v>
      </c>
      <c r="G1278" s="37" t="n">
        <v>0.909434352843761</v>
      </c>
    </row>
    <row r="1279" customFormat="false" ht="15" hidden="false" customHeight="false" outlineLevel="0" collapsed="false">
      <c r="A1279" s="20" t="s">
        <v>1598</v>
      </c>
      <c r="B1279" s="20" t="s">
        <v>200</v>
      </c>
      <c r="C1279" s="9" t="s">
        <v>880</v>
      </c>
      <c r="D1279" s="9" t="n">
        <v>1</v>
      </c>
      <c r="E1279" s="30" t="n">
        <v>19268</v>
      </c>
      <c r="F1279" s="30" t="n">
        <v>17473</v>
      </c>
      <c r="G1279" s="35" t="n">
        <v>0.906840357068715</v>
      </c>
    </row>
    <row r="1280" customFormat="false" ht="15" hidden="false" customHeight="false" outlineLevel="0" collapsed="false">
      <c r="A1280" s="25" t="s">
        <v>1599</v>
      </c>
      <c r="B1280" s="29" t="s">
        <v>253</v>
      </c>
      <c r="C1280" s="29" t="s">
        <v>254</v>
      </c>
      <c r="D1280" s="29" t="n">
        <v>4</v>
      </c>
      <c r="E1280" s="31" t="n">
        <v>19260</v>
      </c>
      <c r="F1280" s="31" t="n">
        <v>15944</v>
      </c>
      <c r="G1280" s="37" t="n">
        <v>0.827829698857736</v>
      </c>
    </row>
    <row r="1281" customFormat="false" ht="15" hidden="false" customHeight="false" outlineLevel="0" collapsed="false">
      <c r="A1281" s="20" t="s">
        <v>1600</v>
      </c>
      <c r="B1281" s="20" t="s">
        <v>194</v>
      </c>
      <c r="C1281" s="9" t="s">
        <v>880</v>
      </c>
      <c r="D1281" s="9" t="n">
        <v>1</v>
      </c>
      <c r="E1281" s="30" t="n">
        <v>19184</v>
      </c>
      <c r="F1281" s="30" t="n">
        <v>17234</v>
      </c>
      <c r="G1281" s="35" t="n">
        <v>0.898352793994996</v>
      </c>
    </row>
    <row r="1282" customFormat="false" ht="15" hidden="false" customHeight="false" outlineLevel="0" collapsed="false">
      <c r="A1282" s="25" t="s">
        <v>1601</v>
      </c>
      <c r="B1282" s="25" t="s">
        <v>194</v>
      </c>
      <c r="C1282" s="29" t="s">
        <v>254</v>
      </c>
      <c r="D1282" s="29" t="n">
        <v>4</v>
      </c>
      <c r="E1282" s="31" t="n">
        <v>19144</v>
      </c>
      <c r="F1282" s="31" t="n">
        <v>10136</v>
      </c>
      <c r="G1282" s="37" t="n">
        <v>0.529460927705809</v>
      </c>
    </row>
    <row r="1283" customFormat="false" ht="15" hidden="false" customHeight="false" outlineLevel="0" collapsed="false">
      <c r="A1283" s="20" t="s">
        <v>1602</v>
      </c>
      <c r="B1283" s="20" t="s">
        <v>194</v>
      </c>
      <c r="C1283" s="9" t="s">
        <v>368</v>
      </c>
      <c r="D1283" s="9" t="n">
        <v>108</v>
      </c>
      <c r="E1283" s="30" t="n">
        <v>19116</v>
      </c>
      <c r="F1283" s="30" t="n">
        <v>15984</v>
      </c>
      <c r="G1283" s="35" t="n">
        <v>0.836158192090395</v>
      </c>
    </row>
    <row r="1284" customFormat="false" ht="15" hidden="false" customHeight="false" outlineLevel="0" collapsed="false">
      <c r="A1284" s="25" t="s">
        <v>1603</v>
      </c>
      <c r="B1284" s="29" t="s">
        <v>253</v>
      </c>
      <c r="C1284" s="29" t="s">
        <v>428</v>
      </c>
      <c r="D1284" s="29" t="n">
        <v>28</v>
      </c>
      <c r="E1284" s="31" t="n">
        <v>19096</v>
      </c>
      <c r="F1284" s="31" t="n">
        <v>3192</v>
      </c>
      <c r="G1284" s="37" t="n">
        <v>0.167155425219941</v>
      </c>
    </row>
    <row r="1285" customFormat="false" ht="15" hidden="false" customHeight="false" outlineLevel="0" collapsed="false">
      <c r="A1285" s="20" t="s">
        <v>1604</v>
      </c>
      <c r="B1285" s="9" t="s">
        <v>253</v>
      </c>
      <c r="C1285" s="9" t="s">
        <v>254</v>
      </c>
      <c r="D1285" s="9" t="n">
        <v>4</v>
      </c>
      <c r="E1285" s="30" t="n">
        <v>19076</v>
      </c>
      <c r="F1285" s="30" t="n">
        <v>16240</v>
      </c>
      <c r="G1285" s="35" t="n">
        <v>0.851331516041099</v>
      </c>
    </row>
    <row r="1286" customFormat="false" ht="15" hidden="false" customHeight="false" outlineLevel="0" collapsed="false">
      <c r="A1286" s="25" t="s">
        <v>1605</v>
      </c>
      <c r="B1286" s="25" t="s">
        <v>194</v>
      </c>
      <c r="C1286" s="29" t="s">
        <v>254</v>
      </c>
      <c r="D1286" s="29" t="n">
        <v>4</v>
      </c>
      <c r="E1286" s="31" t="n">
        <v>19052</v>
      </c>
      <c r="F1286" s="31" t="n">
        <v>10064</v>
      </c>
      <c r="G1286" s="37" t="n">
        <v>0.528238505143817</v>
      </c>
    </row>
    <row r="1287" customFormat="false" ht="15" hidden="false" customHeight="false" outlineLevel="0" collapsed="false">
      <c r="A1287" s="20" t="s">
        <v>1606</v>
      </c>
      <c r="B1287" s="20" t="s">
        <v>194</v>
      </c>
      <c r="C1287" s="9" t="s">
        <v>195</v>
      </c>
      <c r="D1287" s="9" t="n">
        <v>5</v>
      </c>
      <c r="E1287" s="30" t="n">
        <v>19040</v>
      </c>
      <c r="F1287" s="30" t="n">
        <v>9380</v>
      </c>
      <c r="G1287" s="35" t="n">
        <v>0.492647058823529</v>
      </c>
    </row>
    <row r="1288" customFormat="false" ht="15" hidden="false" customHeight="false" outlineLevel="0" collapsed="false">
      <c r="A1288" s="25" t="s">
        <v>1607</v>
      </c>
      <c r="B1288" s="25" t="s">
        <v>194</v>
      </c>
      <c r="C1288" s="29" t="s">
        <v>203</v>
      </c>
      <c r="D1288" s="29" t="n">
        <v>20</v>
      </c>
      <c r="E1288" s="31" t="n">
        <v>19000</v>
      </c>
      <c r="F1288" s="31" t="n">
        <v>9680</v>
      </c>
      <c r="G1288" s="37" t="n">
        <v>0.509473684210526</v>
      </c>
    </row>
    <row r="1289" customFormat="false" ht="15" hidden="false" customHeight="false" outlineLevel="0" collapsed="false">
      <c r="A1289" s="20" t="s">
        <v>1608</v>
      </c>
      <c r="B1289" s="20" t="s">
        <v>194</v>
      </c>
      <c r="C1289" s="9" t="s">
        <v>334</v>
      </c>
      <c r="D1289" s="9" t="n">
        <v>14</v>
      </c>
      <c r="E1289" s="30" t="n">
        <v>18940</v>
      </c>
      <c r="F1289" s="30" t="n">
        <v>4982</v>
      </c>
      <c r="G1289" s="35" t="n">
        <v>0.263041182682154</v>
      </c>
    </row>
    <row r="1290" customFormat="false" ht="15" hidden="false" customHeight="false" outlineLevel="0" collapsed="false">
      <c r="A1290" s="25" t="s">
        <v>1609</v>
      </c>
      <c r="B1290" s="29" t="s">
        <v>253</v>
      </c>
      <c r="C1290" s="29" t="s">
        <v>223</v>
      </c>
      <c r="D1290" s="29" t="n">
        <v>2</v>
      </c>
      <c r="E1290" s="31" t="n">
        <v>18920</v>
      </c>
      <c r="F1290" s="31" t="n">
        <v>5852</v>
      </c>
      <c r="G1290" s="37" t="n">
        <v>0.309302325581395</v>
      </c>
    </row>
    <row r="1291" customFormat="false" ht="15" hidden="false" customHeight="false" outlineLevel="0" collapsed="false">
      <c r="A1291" s="20" t="s">
        <v>1610</v>
      </c>
      <c r="B1291" s="20" t="s">
        <v>240</v>
      </c>
      <c r="C1291" s="9" t="s">
        <v>368</v>
      </c>
      <c r="D1291" s="9" t="n">
        <v>254</v>
      </c>
      <c r="E1291" s="30" t="n">
        <v>18892</v>
      </c>
      <c r="F1291" s="30" t="n">
        <v>16098</v>
      </c>
      <c r="G1291" s="35" t="n">
        <v>0.852106711835698</v>
      </c>
    </row>
    <row r="1292" customFormat="false" ht="15" hidden="false" customHeight="false" outlineLevel="0" collapsed="false">
      <c r="A1292" s="25" t="s">
        <v>1611</v>
      </c>
      <c r="B1292" s="25" t="s">
        <v>220</v>
      </c>
      <c r="C1292" s="29" t="s">
        <v>217</v>
      </c>
      <c r="D1292" s="29" t="n">
        <v>4</v>
      </c>
      <c r="E1292" s="31" t="n">
        <v>18880</v>
      </c>
      <c r="F1292" s="31" t="n">
        <v>5020</v>
      </c>
      <c r="G1292" s="37" t="n">
        <v>0.265889830508475</v>
      </c>
    </row>
    <row r="1293" customFormat="false" ht="15" hidden="false" customHeight="false" outlineLevel="0" collapsed="false">
      <c r="A1293" s="20" t="s">
        <v>1612</v>
      </c>
      <c r="B1293" s="9" t="s">
        <v>281</v>
      </c>
      <c r="C1293" s="9" t="s">
        <v>197</v>
      </c>
      <c r="D1293" s="9" t="n">
        <v>3</v>
      </c>
      <c r="E1293" s="30" t="n">
        <v>18846</v>
      </c>
      <c r="F1293" s="30" t="n">
        <v>6021</v>
      </c>
      <c r="G1293" s="35" t="n">
        <v>0.319484240687679</v>
      </c>
    </row>
    <row r="1294" customFormat="false" ht="15" hidden="false" customHeight="false" outlineLevel="0" collapsed="false">
      <c r="A1294" s="25" t="s">
        <v>1613</v>
      </c>
      <c r="B1294" s="25" t="s">
        <v>194</v>
      </c>
      <c r="C1294" s="29" t="s">
        <v>206</v>
      </c>
      <c r="D1294" s="29" t="n">
        <v>1</v>
      </c>
      <c r="E1294" s="31" t="n">
        <v>18790</v>
      </c>
      <c r="F1294" s="31" t="n">
        <v>5125</v>
      </c>
      <c r="G1294" s="37" t="n">
        <v>0.272751463544439</v>
      </c>
    </row>
    <row r="1295" customFormat="false" ht="15" hidden="false" customHeight="false" outlineLevel="0" collapsed="false">
      <c r="A1295" s="20" t="s">
        <v>1614</v>
      </c>
      <c r="B1295" s="20" t="s">
        <v>308</v>
      </c>
      <c r="C1295" s="9" t="s">
        <v>368</v>
      </c>
      <c r="D1295" s="9" t="n">
        <v>14</v>
      </c>
      <c r="E1295" s="30" t="n">
        <v>18760</v>
      </c>
      <c r="F1295" s="30" t="n">
        <v>9977</v>
      </c>
      <c r="G1295" s="35" t="n">
        <v>0.53182302771855</v>
      </c>
    </row>
    <row r="1296" customFormat="false" ht="15" hidden="false" customHeight="false" outlineLevel="0" collapsed="false">
      <c r="A1296" s="25" t="s">
        <v>1615</v>
      </c>
      <c r="B1296" s="25" t="s">
        <v>1616</v>
      </c>
      <c r="C1296" s="29" t="s">
        <v>880</v>
      </c>
      <c r="D1296" s="29" t="n">
        <v>1</v>
      </c>
      <c r="E1296" s="31" t="n">
        <v>18736</v>
      </c>
      <c r="F1296" s="31" t="n">
        <v>2856</v>
      </c>
      <c r="G1296" s="37" t="n">
        <v>0.152433817250214</v>
      </c>
    </row>
    <row r="1297" customFormat="false" ht="15" hidden="false" customHeight="false" outlineLevel="0" collapsed="false">
      <c r="A1297" s="20" t="s">
        <v>1617</v>
      </c>
      <c r="B1297" s="20" t="s">
        <v>194</v>
      </c>
      <c r="C1297" s="9" t="s">
        <v>203</v>
      </c>
      <c r="D1297" s="9" t="n">
        <v>7</v>
      </c>
      <c r="E1297" s="30" t="n">
        <v>18725</v>
      </c>
      <c r="F1297" s="30" t="n">
        <v>3640</v>
      </c>
      <c r="G1297" s="35" t="n">
        <v>0.194392523364486</v>
      </c>
    </row>
    <row r="1298" customFormat="false" ht="15" hidden="false" customHeight="false" outlineLevel="0" collapsed="false">
      <c r="A1298" s="25" t="s">
        <v>1618</v>
      </c>
      <c r="B1298" s="25" t="s">
        <v>200</v>
      </c>
      <c r="C1298" s="29" t="s">
        <v>880</v>
      </c>
      <c r="D1298" s="29" t="n">
        <v>1</v>
      </c>
      <c r="E1298" s="31" t="n">
        <v>18724</v>
      </c>
      <c r="F1298" s="31" t="n">
        <v>2856</v>
      </c>
      <c r="G1298" s="37" t="n">
        <v>0.152531510361034</v>
      </c>
    </row>
    <row r="1299" customFormat="false" ht="15" hidden="false" customHeight="false" outlineLevel="0" collapsed="false">
      <c r="A1299" s="20" t="s">
        <v>1619</v>
      </c>
      <c r="B1299" s="20" t="s">
        <v>194</v>
      </c>
      <c r="C1299" s="9" t="s">
        <v>254</v>
      </c>
      <c r="D1299" s="9" t="n">
        <v>4</v>
      </c>
      <c r="E1299" s="30" t="n">
        <v>18724</v>
      </c>
      <c r="F1299" s="30" t="n">
        <v>9804</v>
      </c>
      <c r="G1299" s="35" t="n">
        <v>0.523606067079684</v>
      </c>
    </row>
    <row r="1300" customFormat="false" ht="15" hidden="false" customHeight="false" outlineLevel="0" collapsed="false">
      <c r="A1300" s="25" t="s">
        <v>1620</v>
      </c>
      <c r="B1300" s="29" t="s">
        <v>253</v>
      </c>
      <c r="C1300" s="29" t="s">
        <v>428</v>
      </c>
      <c r="D1300" s="29" t="n">
        <v>12</v>
      </c>
      <c r="E1300" s="31" t="n">
        <v>18720</v>
      </c>
      <c r="F1300" s="31" t="n">
        <v>14160</v>
      </c>
      <c r="G1300" s="37" t="n">
        <v>0.756410256410256</v>
      </c>
    </row>
    <row r="1301" customFormat="false" ht="15" hidden="false" customHeight="false" outlineLevel="0" collapsed="false">
      <c r="A1301" s="20" t="s">
        <v>1621</v>
      </c>
      <c r="B1301" s="9" t="s">
        <v>253</v>
      </c>
      <c r="C1301" s="9" t="s">
        <v>254</v>
      </c>
      <c r="D1301" s="9" t="n">
        <v>4</v>
      </c>
      <c r="E1301" s="30" t="n">
        <v>18660</v>
      </c>
      <c r="F1301" s="30" t="n">
        <v>15832</v>
      </c>
      <c r="G1301" s="35" t="n">
        <v>0.848445873526259</v>
      </c>
    </row>
    <row r="1302" customFormat="false" ht="15" hidden="false" customHeight="false" outlineLevel="0" collapsed="false">
      <c r="A1302" s="25" t="s">
        <v>1622</v>
      </c>
      <c r="B1302" s="29" t="s">
        <v>1623</v>
      </c>
      <c r="C1302" s="29" t="s">
        <v>368</v>
      </c>
      <c r="D1302" s="29" t="n">
        <v>3</v>
      </c>
      <c r="E1302" s="31" t="n">
        <v>18609</v>
      </c>
      <c r="F1302" s="31" t="n">
        <v>2790</v>
      </c>
      <c r="G1302" s="37" t="n">
        <v>0.149927454457521</v>
      </c>
    </row>
    <row r="1303" customFormat="false" ht="15" hidden="false" customHeight="false" outlineLevel="0" collapsed="false">
      <c r="A1303" s="20" t="s">
        <v>1624</v>
      </c>
      <c r="B1303" s="20" t="s">
        <v>332</v>
      </c>
      <c r="C1303" s="9" t="s">
        <v>428</v>
      </c>
      <c r="D1303" s="9" t="n">
        <v>13</v>
      </c>
      <c r="E1303" s="30" t="n">
        <v>18590</v>
      </c>
      <c r="F1303" s="30" t="n">
        <v>8372</v>
      </c>
      <c r="G1303" s="35" t="n">
        <v>0.45034965034965</v>
      </c>
    </row>
    <row r="1304" customFormat="false" ht="15" hidden="false" customHeight="false" outlineLevel="0" collapsed="false">
      <c r="A1304" s="25" t="s">
        <v>1625</v>
      </c>
      <c r="B1304" s="25" t="s">
        <v>194</v>
      </c>
      <c r="C1304" s="29" t="s">
        <v>203</v>
      </c>
      <c r="D1304" s="29" t="n">
        <v>6</v>
      </c>
      <c r="E1304" s="31" t="n">
        <v>18552</v>
      </c>
      <c r="F1304" s="31" t="n">
        <v>12552</v>
      </c>
      <c r="G1304" s="37" t="n">
        <v>0.676584734799483</v>
      </c>
    </row>
    <row r="1305" customFormat="false" ht="15" hidden="false" customHeight="false" outlineLevel="0" collapsed="false">
      <c r="A1305" s="20" t="s">
        <v>1626</v>
      </c>
      <c r="B1305" s="20" t="s">
        <v>1482</v>
      </c>
      <c r="C1305" s="9" t="s">
        <v>880</v>
      </c>
      <c r="D1305" s="9" t="n">
        <v>1</v>
      </c>
      <c r="E1305" s="30" t="n">
        <v>18542</v>
      </c>
      <c r="F1305" s="30" t="n">
        <v>2843</v>
      </c>
      <c r="G1305" s="35" t="n">
        <v>0.153327580627764</v>
      </c>
    </row>
    <row r="1306" customFormat="false" ht="15" hidden="false" customHeight="false" outlineLevel="0" collapsed="false">
      <c r="A1306" s="25" t="s">
        <v>1627</v>
      </c>
      <c r="B1306" s="29" t="s">
        <v>253</v>
      </c>
      <c r="C1306" s="29" t="s">
        <v>428</v>
      </c>
      <c r="D1306" s="29" t="n">
        <v>18</v>
      </c>
      <c r="E1306" s="31" t="n">
        <v>18504</v>
      </c>
      <c r="F1306" s="31" t="n">
        <v>5616</v>
      </c>
      <c r="G1306" s="37" t="n">
        <v>0.303501945525292</v>
      </c>
    </row>
    <row r="1307" customFormat="false" ht="15" hidden="false" customHeight="false" outlineLevel="0" collapsed="false">
      <c r="A1307" s="20" t="s">
        <v>1628</v>
      </c>
      <c r="B1307" s="20" t="s">
        <v>194</v>
      </c>
      <c r="C1307" s="9" t="s">
        <v>254</v>
      </c>
      <c r="D1307" s="9" t="n">
        <v>4</v>
      </c>
      <c r="E1307" s="30" t="n">
        <v>18492</v>
      </c>
      <c r="F1307" s="30" t="n">
        <v>9620</v>
      </c>
      <c r="G1307" s="35" t="n">
        <v>0.520224962145793</v>
      </c>
    </row>
    <row r="1308" customFormat="false" ht="15" hidden="false" customHeight="false" outlineLevel="0" collapsed="false">
      <c r="A1308" s="25" t="s">
        <v>1629</v>
      </c>
      <c r="B1308" s="25" t="s">
        <v>194</v>
      </c>
      <c r="C1308" s="29" t="s">
        <v>254</v>
      </c>
      <c r="D1308" s="29" t="n">
        <v>4</v>
      </c>
      <c r="E1308" s="31" t="n">
        <v>18492</v>
      </c>
      <c r="F1308" s="31" t="n">
        <v>9620</v>
      </c>
      <c r="G1308" s="37" t="n">
        <v>0.520224962145793</v>
      </c>
    </row>
    <row r="1309" customFormat="false" ht="15" hidden="false" customHeight="false" outlineLevel="0" collapsed="false">
      <c r="A1309" s="20" t="s">
        <v>1630</v>
      </c>
      <c r="B1309" s="9" t="s">
        <v>253</v>
      </c>
      <c r="C1309" s="9" t="s">
        <v>254</v>
      </c>
      <c r="D1309" s="9" t="n">
        <v>4</v>
      </c>
      <c r="E1309" s="30" t="n">
        <v>18448</v>
      </c>
      <c r="F1309" s="30" t="n">
        <v>15192</v>
      </c>
      <c r="G1309" s="35" t="n">
        <v>0.823503902862099</v>
      </c>
    </row>
    <row r="1310" customFormat="false" ht="15" hidden="false" customHeight="false" outlineLevel="0" collapsed="false">
      <c r="A1310" s="25" t="s">
        <v>1631</v>
      </c>
      <c r="B1310" s="25" t="s">
        <v>194</v>
      </c>
      <c r="C1310" s="29" t="s">
        <v>334</v>
      </c>
      <c r="D1310" s="29" t="n">
        <v>34</v>
      </c>
      <c r="E1310" s="31" t="n">
        <v>18428</v>
      </c>
      <c r="F1310" s="31" t="n">
        <v>14212</v>
      </c>
      <c r="G1310" s="37" t="n">
        <v>0.771217712177122</v>
      </c>
    </row>
    <row r="1311" customFormat="false" ht="15" hidden="false" customHeight="false" outlineLevel="0" collapsed="false">
      <c r="A1311" s="20" t="s">
        <v>1632</v>
      </c>
      <c r="B1311" s="20" t="s">
        <v>194</v>
      </c>
      <c r="C1311" s="9" t="s">
        <v>297</v>
      </c>
      <c r="D1311" s="9" t="n">
        <v>1</v>
      </c>
      <c r="E1311" s="30" t="n">
        <v>18345</v>
      </c>
      <c r="F1311" s="30" t="n">
        <v>2752</v>
      </c>
      <c r="G1311" s="35" t="n">
        <v>0.150013627691469</v>
      </c>
    </row>
    <row r="1312" customFormat="false" ht="15" hidden="false" customHeight="false" outlineLevel="0" collapsed="false">
      <c r="A1312" s="25" t="s">
        <v>1633</v>
      </c>
      <c r="B1312" s="25" t="s">
        <v>194</v>
      </c>
      <c r="C1312" s="29" t="s">
        <v>217</v>
      </c>
      <c r="D1312" s="29" t="n">
        <v>4</v>
      </c>
      <c r="E1312" s="31" t="n">
        <v>18332</v>
      </c>
      <c r="F1312" s="31" t="n">
        <v>4480</v>
      </c>
      <c r="G1312" s="37" t="n">
        <v>0.244381409557059</v>
      </c>
    </row>
    <row r="1313" customFormat="false" ht="15" hidden="false" customHeight="false" outlineLevel="0" collapsed="false">
      <c r="A1313" s="20" t="s">
        <v>1634</v>
      </c>
      <c r="B1313" s="9" t="s">
        <v>253</v>
      </c>
      <c r="C1313" s="9" t="s">
        <v>223</v>
      </c>
      <c r="D1313" s="9" t="n">
        <v>3</v>
      </c>
      <c r="E1313" s="30" t="n">
        <v>18309</v>
      </c>
      <c r="F1313" s="30" t="n">
        <v>5106</v>
      </c>
      <c r="G1313" s="35" t="n">
        <v>0.278879239718171</v>
      </c>
    </row>
    <row r="1314" customFormat="false" ht="15" hidden="false" customHeight="false" outlineLevel="0" collapsed="false">
      <c r="A1314" s="25" t="s">
        <v>1635</v>
      </c>
      <c r="B1314" s="25" t="s">
        <v>194</v>
      </c>
      <c r="C1314" s="29" t="s">
        <v>254</v>
      </c>
      <c r="D1314" s="29" t="n">
        <v>4</v>
      </c>
      <c r="E1314" s="31" t="n">
        <v>18304</v>
      </c>
      <c r="F1314" s="31" t="n">
        <v>9468</v>
      </c>
      <c r="G1314" s="37" t="n">
        <v>0.517263986013986</v>
      </c>
    </row>
    <row r="1315" customFormat="false" ht="15" hidden="false" customHeight="false" outlineLevel="0" collapsed="false">
      <c r="A1315" s="20" t="s">
        <v>1636</v>
      </c>
      <c r="B1315" s="20" t="s">
        <v>194</v>
      </c>
      <c r="C1315" s="9" t="s">
        <v>254</v>
      </c>
      <c r="D1315" s="9" t="n">
        <v>4</v>
      </c>
      <c r="E1315" s="30" t="n">
        <v>18304</v>
      </c>
      <c r="F1315" s="30" t="n">
        <v>9468</v>
      </c>
      <c r="G1315" s="35" t="n">
        <v>0.517263986013986</v>
      </c>
    </row>
    <row r="1316" customFormat="false" ht="15" hidden="false" customHeight="false" outlineLevel="0" collapsed="false">
      <c r="A1316" s="25" t="s">
        <v>1637</v>
      </c>
      <c r="B1316" s="25" t="s">
        <v>220</v>
      </c>
      <c r="C1316" s="29" t="s">
        <v>217</v>
      </c>
      <c r="D1316" s="29" t="n">
        <v>1</v>
      </c>
      <c r="E1316" s="31" t="n">
        <v>18296</v>
      </c>
      <c r="F1316" s="31" t="n">
        <v>3834</v>
      </c>
      <c r="G1316" s="37" t="n">
        <v>0.209554000874508</v>
      </c>
    </row>
    <row r="1317" customFormat="false" ht="15" hidden="false" customHeight="false" outlineLevel="0" collapsed="false">
      <c r="A1317" s="20" t="s">
        <v>1638</v>
      </c>
      <c r="B1317" s="20" t="s">
        <v>194</v>
      </c>
      <c r="C1317" s="9" t="s">
        <v>880</v>
      </c>
      <c r="D1317" s="9" t="n">
        <v>1</v>
      </c>
      <c r="E1317" s="30" t="n">
        <v>18286</v>
      </c>
      <c r="F1317" s="30" t="n">
        <v>4969</v>
      </c>
      <c r="G1317" s="35" t="n">
        <v>0.271737941594663</v>
      </c>
    </row>
    <row r="1318" customFormat="false" ht="15" hidden="false" customHeight="false" outlineLevel="0" collapsed="false">
      <c r="A1318" s="25" t="s">
        <v>1639</v>
      </c>
      <c r="B1318" s="29" t="s">
        <v>253</v>
      </c>
      <c r="C1318" s="29" t="s">
        <v>428</v>
      </c>
      <c r="D1318" s="29" t="n">
        <v>25</v>
      </c>
      <c r="E1318" s="31" t="n">
        <v>18250</v>
      </c>
      <c r="F1318" s="31" t="n">
        <v>14475</v>
      </c>
      <c r="G1318" s="37" t="n">
        <v>0.793150684931507</v>
      </c>
    </row>
    <row r="1319" customFormat="false" ht="15" hidden="false" customHeight="false" outlineLevel="0" collapsed="false">
      <c r="A1319" s="20" t="s">
        <v>1640</v>
      </c>
      <c r="B1319" s="9" t="s">
        <v>1641</v>
      </c>
      <c r="C1319" s="9" t="s">
        <v>223</v>
      </c>
      <c r="D1319" s="9" t="n">
        <v>700</v>
      </c>
      <c r="E1319" s="30" t="n">
        <v>18200</v>
      </c>
      <c r="F1319" s="30" t="n">
        <v>2730</v>
      </c>
      <c r="G1319" s="35" t="n">
        <v>0.15</v>
      </c>
    </row>
    <row r="1320" customFormat="false" ht="15" hidden="false" customHeight="false" outlineLevel="0" collapsed="false">
      <c r="A1320" s="25" t="s">
        <v>1642</v>
      </c>
      <c r="B1320" s="29" t="s">
        <v>253</v>
      </c>
      <c r="C1320" s="29" t="s">
        <v>428</v>
      </c>
      <c r="D1320" s="29" t="n">
        <v>10</v>
      </c>
      <c r="E1320" s="31" t="n">
        <v>18180</v>
      </c>
      <c r="F1320" s="31" t="n">
        <v>13930</v>
      </c>
      <c r="G1320" s="37" t="n">
        <v>0.766226622662266</v>
      </c>
    </row>
    <row r="1321" customFormat="false" ht="15" hidden="false" customHeight="false" outlineLevel="0" collapsed="false">
      <c r="A1321" s="20" t="s">
        <v>1643</v>
      </c>
      <c r="B1321" s="20" t="s">
        <v>194</v>
      </c>
      <c r="C1321" s="9" t="s">
        <v>203</v>
      </c>
      <c r="D1321" s="9" t="n">
        <v>2</v>
      </c>
      <c r="E1321" s="30" t="n">
        <v>18108</v>
      </c>
      <c r="F1321" s="30" t="n">
        <v>2716</v>
      </c>
      <c r="G1321" s="35" t="n">
        <v>0.149988955157941</v>
      </c>
    </row>
    <row r="1322" customFormat="false" ht="15" hidden="false" customHeight="false" outlineLevel="0" collapsed="false">
      <c r="A1322" s="25" t="s">
        <v>1644</v>
      </c>
      <c r="B1322" s="25" t="s">
        <v>200</v>
      </c>
      <c r="C1322" s="29" t="s">
        <v>223</v>
      </c>
      <c r="D1322" s="29" t="n">
        <v>5</v>
      </c>
      <c r="E1322" s="31" t="n">
        <v>18075</v>
      </c>
      <c r="F1322" s="31" t="n">
        <v>2710</v>
      </c>
      <c r="G1322" s="37" t="n">
        <v>0.149930843706777</v>
      </c>
    </row>
    <row r="1323" customFormat="false" ht="15" hidden="false" customHeight="false" outlineLevel="0" collapsed="false">
      <c r="A1323" s="20" t="s">
        <v>1645</v>
      </c>
      <c r="B1323" s="20" t="s">
        <v>200</v>
      </c>
      <c r="C1323" s="9" t="s">
        <v>223</v>
      </c>
      <c r="D1323" s="9" t="n">
        <v>13</v>
      </c>
      <c r="E1323" s="30" t="n">
        <v>18070</v>
      </c>
      <c r="F1323" s="30" t="n">
        <v>2705</v>
      </c>
      <c r="G1323" s="35" t="n">
        <v>0.149695628112894</v>
      </c>
    </row>
    <row r="1324" customFormat="false" ht="15" hidden="false" customHeight="false" outlineLevel="0" collapsed="false">
      <c r="A1324" s="25" t="s">
        <v>1646</v>
      </c>
      <c r="B1324" s="29" t="s">
        <v>1647</v>
      </c>
      <c r="C1324" s="29" t="s">
        <v>309</v>
      </c>
      <c r="D1324" s="29" t="n">
        <v>1000</v>
      </c>
      <c r="E1324" s="31" t="n">
        <v>18000</v>
      </c>
      <c r="F1324" s="31" t="n">
        <v>13500</v>
      </c>
      <c r="G1324" s="37" t="n">
        <v>0.75</v>
      </c>
    </row>
    <row r="1325" customFormat="false" ht="15" hidden="false" customHeight="false" outlineLevel="0" collapsed="false">
      <c r="A1325" s="20" t="s">
        <v>1648</v>
      </c>
      <c r="B1325" s="9" t="s">
        <v>1649</v>
      </c>
      <c r="C1325" s="9" t="s">
        <v>229</v>
      </c>
      <c r="D1325" s="9" t="n">
        <v>36</v>
      </c>
      <c r="E1325" s="30" t="n">
        <v>18000</v>
      </c>
      <c r="F1325" s="30" t="n">
        <v>2700</v>
      </c>
      <c r="G1325" s="35" t="n">
        <v>0.15</v>
      </c>
    </row>
    <row r="1326" customFormat="false" ht="15" hidden="false" customHeight="false" outlineLevel="0" collapsed="false">
      <c r="A1326" s="25" t="s">
        <v>1650</v>
      </c>
      <c r="B1326" s="25" t="s">
        <v>1651</v>
      </c>
      <c r="C1326" s="29" t="s">
        <v>1652</v>
      </c>
      <c r="D1326" s="29" t="n">
        <v>4</v>
      </c>
      <c r="E1326" s="31" t="n">
        <v>18000</v>
      </c>
      <c r="F1326" s="31" t="n">
        <v>2700</v>
      </c>
      <c r="G1326" s="37" t="n">
        <v>0.15</v>
      </c>
    </row>
    <row r="1327" customFormat="false" ht="15" hidden="false" customHeight="false" outlineLevel="0" collapsed="false">
      <c r="A1327" s="20" t="s">
        <v>1653</v>
      </c>
      <c r="B1327" s="20" t="s">
        <v>200</v>
      </c>
      <c r="C1327" s="9" t="s">
        <v>880</v>
      </c>
      <c r="D1327" s="9" t="n">
        <v>1</v>
      </c>
      <c r="E1327" s="30" t="n">
        <v>17985</v>
      </c>
      <c r="F1327" s="30" t="n">
        <v>742</v>
      </c>
      <c r="G1327" s="35" t="n">
        <v>0.0412566027244926</v>
      </c>
    </row>
    <row r="1328" customFormat="false" ht="15" hidden="false" customHeight="false" outlineLevel="0" collapsed="false">
      <c r="A1328" s="25" t="s">
        <v>1654</v>
      </c>
      <c r="B1328" s="29" t="s">
        <v>1262</v>
      </c>
      <c r="C1328" s="29" t="s">
        <v>428</v>
      </c>
      <c r="D1328" s="29" t="n">
        <v>2</v>
      </c>
      <c r="E1328" s="31" t="n">
        <v>17972</v>
      </c>
      <c r="F1328" s="31" t="n">
        <v>3710</v>
      </c>
      <c r="G1328" s="37" t="n">
        <v>0.206432227910082</v>
      </c>
    </row>
    <row r="1329" customFormat="false" ht="15" hidden="false" customHeight="false" outlineLevel="0" collapsed="false">
      <c r="A1329" s="20" t="s">
        <v>1655</v>
      </c>
      <c r="B1329" s="20" t="s">
        <v>194</v>
      </c>
      <c r="C1329" s="9" t="s">
        <v>223</v>
      </c>
      <c r="D1329" s="9" t="n">
        <v>4</v>
      </c>
      <c r="E1329" s="30" t="n">
        <v>17960</v>
      </c>
      <c r="F1329" s="30" t="n">
        <v>1880</v>
      </c>
      <c r="G1329" s="35" t="n">
        <v>0.10467706013363</v>
      </c>
    </row>
    <row r="1330" customFormat="false" ht="15" hidden="false" customHeight="false" outlineLevel="0" collapsed="false">
      <c r="A1330" s="25" t="s">
        <v>1656</v>
      </c>
      <c r="B1330" s="29" t="s">
        <v>1218</v>
      </c>
      <c r="C1330" s="29" t="s">
        <v>355</v>
      </c>
      <c r="D1330" s="29" t="n">
        <v>4</v>
      </c>
      <c r="E1330" s="31" t="n">
        <v>17848</v>
      </c>
      <c r="F1330" s="31" t="n">
        <v>16248</v>
      </c>
      <c r="G1330" s="37" t="n">
        <v>0.910354101299866</v>
      </c>
    </row>
    <row r="1331" customFormat="false" ht="15" hidden="false" customHeight="false" outlineLevel="0" collapsed="false">
      <c r="A1331" s="20" t="s">
        <v>1657</v>
      </c>
      <c r="B1331" s="20" t="s">
        <v>194</v>
      </c>
      <c r="C1331" s="9" t="s">
        <v>768</v>
      </c>
      <c r="D1331" s="9" t="n">
        <v>1</v>
      </c>
      <c r="E1331" s="30" t="n">
        <v>17818</v>
      </c>
      <c r="F1331" s="30" t="n">
        <v>2026</v>
      </c>
      <c r="G1331" s="35" t="n">
        <v>0.113705241890223</v>
      </c>
    </row>
    <row r="1332" customFormat="false" ht="15" hidden="false" customHeight="false" outlineLevel="0" collapsed="false">
      <c r="A1332" s="25" t="s">
        <v>1658</v>
      </c>
      <c r="B1332" s="25" t="s">
        <v>240</v>
      </c>
      <c r="C1332" s="29" t="s">
        <v>368</v>
      </c>
      <c r="D1332" s="29" t="n">
        <v>6</v>
      </c>
      <c r="E1332" s="31" t="n">
        <v>17750</v>
      </c>
      <c r="F1332" s="31" t="n">
        <v>13532</v>
      </c>
      <c r="G1332" s="37" t="n">
        <v>0.762366197183099</v>
      </c>
    </row>
    <row r="1333" customFormat="false" ht="15" hidden="false" customHeight="false" outlineLevel="0" collapsed="false">
      <c r="A1333" s="20" t="s">
        <v>1659</v>
      </c>
      <c r="B1333" s="9" t="s">
        <v>253</v>
      </c>
      <c r="C1333" s="9" t="s">
        <v>428</v>
      </c>
      <c r="D1333" s="9" t="n">
        <v>10</v>
      </c>
      <c r="E1333" s="30" t="n">
        <v>17700</v>
      </c>
      <c r="F1333" s="30" t="n">
        <v>13450</v>
      </c>
      <c r="G1333" s="35" t="n">
        <v>0.759887005649718</v>
      </c>
    </row>
    <row r="1334" customFormat="false" ht="15" hidden="false" customHeight="false" outlineLevel="0" collapsed="false">
      <c r="A1334" s="25" t="s">
        <v>1660</v>
      </c>
      <c r="B1334" s="25" t="s">
        <v>1616</v>
      </c>
      <c r="C1334" s="29" t="s">
        <v>880</v>
      </c>
      <c r="D1334" s="29" t="n">
        <v>1</v>
      </c>
      <c r="E1334" s="31" t="n">
        <v>17687</v>
      </c>
      <c r="F1334" s="31" t="n">
        <v>1359</v>
      </c>
      <c r="G1334" s="37" t="n">
        <v>0.0768360943065528</v>
      </c>
    </row>
    <row r="1335" customFormat="false" ht="15" hidden="false" customHeight="false" outlineLevel="0" collapsed="false">
      <c r="A1335" s="20" t="s">
        <v>1661</v>
      </c>
      <c r="B1335" s="20" t="s">
        <v>194</v>
      </c>
      <c r="C1335" s="9" t="s">
        <v>231</v>
      </c>
      <c r="D1335" s="9" t="n">
        <v>21</v>
      </c>
      <c r="E1335" s="30" t="n">
        <v>17667</v>
      </c>
      <c r="F1335" s="30" t="n">
        <v>8847</v>
      </c>
      <c r="G1335" s="35" t="n">
        <v>0.500764136525726</v>
      </c>
    </row>
    <row r="1336" customFormat="false" ht="15" hidden="false" customHeight="false" outlineLevel="0" collapsed="false">
      <c r="A1336" s="25" t="s">
        <v>1662</v>
      </c>
      <c r="B1336" s="25" t="s">
        <v>194</v>
      </c>
      <c r="C1336" s="29" t="s">
        <v>217</v>
      </c>
      <c r="D1336" s="29" t="n">
        <v>5</v>
      </c>
      <c r="E1336" s="31" t="n">
        <v>17635</v>
      </c>
      <c r="F1336" s="31" t="n">
        <v>3970</v>
      </c>
      <c r="G1336" s="37" t="n">
        <v>0.225120499007655</v>
      </c>
    </row>
    <row r="1337" customFormat="false" ht="15" hidden="false" customHeight="false" outlineLevel="0" collapsed="false">
      <c r="A1337" s="20" t="s">
        <v>1663</v>
      </c>
      <c r="B1337" s="20" t="s">
        <v>194</v>
      </c>
      <c r="C1337" s="9" t="s">
        <v>203</v>
      </c>
      <c r="D1337" s="9" t="n">
        <v>10</v>
      </c>
      <c r="E1337" s="30" t="n">
        <v>17630</v>
      </c>
      <c r="F1337" s="30" t="n">
        <v>12820</v>
      </c>
      <c r="G1337" s="35" t="n">
        <v>0.727169597277368</v>
      </c>
    </row>
    <row r="1338" customFormat="false" ht="15" hidden="false" customHeight="false" outlineLevel="0" collapsed="false">
      <c r="A1338" s="25" t="s">
        <v>1664</v>
      </c>
      <c r="B1338" s="29" t="s">
        <v>253</v>
      </c>
      <c r="C1338" s="29" t="s">
        <v>355</v>
      </c>
      <c r="D1338" s="29" t="n">
        <v>55</v>
      </c>
      <c r="E1338" s="31" t="n">
        <v>17600</v>
      </c>
      <c r="F1338" s="31" t="n">
        <v>2640</v>
      </c>
      <c r="G1338" s="37" t="n">
        <v>0.15</v>
      </c>
    </row>
    <row r="1339" customFormat="false" ht="15" hidden="false" customHeight="false" outlineLevel="0" collapsed="false">
      <c r="A1339" s="20" t="s">
        <v>1665</v>
      </c>
      <c r="B1339" s="20" t="s">
        <v>200</v>
      </c>
      <c r="C1339" s="9" t="s">
        <v>1009</v>
      </c>
      <c r="D1339" s="9" t="n">
        <v>2</v>
      </c>
      <c r="E1339" s="30" t="n">
        <v>17598</v>
      </c>
      <c r="F1339" s="30" t="n">
        <v>3786</v>
      </c>
      <c r="G1339" s="35" t="n">
        <v>0.215138083873167</v>
      </c>
    </row>
    <row r="1340" customFormat="false" ht="15" hidden="false" customHeight="false" outlineLevel="0" collapsed="false">
      <c r="A1340" s="25" t="s">
        <v>1666</v>
      </c>
      <c r="B1340" s="25" t="s">
        <v>194</v>
      </c>
      <c r="C1340" s="29" t="s">
        <v>203</v>
      </c>
      <c r="D1340" s="29" t="n">
        <v>1</v>
      </c>
      <c r="E1340" s="31" t="n">
        <v>17572</v>
      </c>
      <c r="F1340" s="31" t="n">
        <v>4558</v>
      </c>
      <c r="G1340" s="37" t="n">
        <v>0.259389938538584</v>
      </c>
    </row>
    <row r="1341" customFormat="false" ht="15" hidden="false" customHeight="false" outlineLevel="0" collapsed="false">
      <c r="A1341" s="20" t="s">
        <v>1667</v>
      </c>
      <c r="B1341" s="20" t="s">
        <v>194</v>
      </c>
      <c r="C1341" s="9" t="s">
        <v>254</v>
      </c>
      <c r="D1341" s="9" t="n">
        <v>4</v>
      </c>
      <c r="E1341" s="30" t="n">
        <v>17512</v>
      </c>
      <c r="F1341" s="30" t="n">
        <v>8836</v>
      </c>
      <c r="G1341" s="35" t="n">
        <v>0.504568296025583</v>
      </c>
    </row>
    <row r="1342" customFormat="false" ht="15" hidden="false" customHeight="false" outlineLevel="0" collapsed="false">
      <c r="A1342" s="25" t="s">
        <v>1668</v>
      </c>
      <c r="B1342" s="29" t="s">
        <v>312</v>
      </c>
      <c r="C1342" s="29" t="s">
        <v>309</v>
      </c>
      <c r="D1342" s="29" t="n">
        <v>15</v>
      </c>
      <c r="E1342" s="31" t="n">
        <v>17505</v>
      </c>
      <c r="F1342" s="31" t="n">
        <v>13005</v>
      </c>
      <c r="G1342" s="37" t="n">
        <v>0.74293059125964</v>
      </c>
    </row>
    <row r="1343" customFormat="false" ht="15" hidden="false" customHeight="false" outlineLevel="0" collapsed="false">
      <c r="A1343" s="20" t="s">
        <v>1669</v>
      </c>
      <c r="B1343" s="20" t="s">
        <v>240</v>
      </c>
      <c r="C1343" s="9" t="s">
        <v>391</v>
      </c>
      <c r="D1343" s="9" t="n">
        <v>5</v>
      </c>
      <c r="E1343" s="30" t="n">
        <v>17440</v>
      </c>
      <c r="F1343" s="30" t="n">
        <v>13090</v>
      </c>
      <c r="G1343" s="35" t="n">
        <v>0.750573394495413</v>
      </c>
    </row>
    <row r="1344" customFormat="false" ht="15" hidden="false" customHeight="false" outlineLevel="0" collapsed="false">
      <c r="A1344" s="25" t="s">
        <v>1670</v>
      </c>
      <c r="B1344" s="29" t="s">
        <v>253</v>
      </c>
      <c r="C1344" s="29" t="s">
        <v>428</v>
      </c>
      <c r="D1344" s="29" t="n">
        <v>5</v>
      </c>
      <c r="E1344" s="31" t="n">
        <v>17425</v>
      </c>
      <c r="F1344" s="31" t="n">
        <v>-1455</v>
      </c>
      <c r="G1344" s="37" t="n">
        <v>-0.0835007173601147</v>
      </c>
    </row>
    <row r="1345" customFormat="false" ht="15" hidden="false" customHeight="false" outlineLevel="0" collapsed="false">
      <c r="A1345" s="20" t="s">
        <v>1671</v>
      </c>
      <c r="B1345" s="20" t="s">
        <v>194</v>
      </c>
      <c r="C1345" s="9" t="s">
        <v>203</v>
      </c>
      <c r="D1345" s="9" t="n">
        <v>1</v>
      </c>
      <c r="E1345" s="30" t="n">
        <v>17403</v>
      </c>
      <c r="F1345" s="30" t="n">
        <v>9093</v>
      </c>
      <c r="G1345" s="35" t="n">
        <v>0.522496121358387</v>
      </c>
    </row>
    <row r="1346" customFormat="false" ht="15" hidden="false" customHeight="false" outlineLevel="0" collapsed="false">
      <c r="A1346" s="25" t="s">
        <v>1672</v>
      </c>
      <c r="B1346" s="29" t="s">
        <v>253</v>
      </c>
      <c r="C1346" s="29" t="s">
        <v>428</v>
      </c>
      <c r="D1346" s="29" t="n">
        <v>8</v>
      </c>
      <c r="E1346" s="31" t="n">
        <v>17280</v>
      </c>
      <c r="F1346" s="31" t="n">
        <v>4336</v>
      </c>
      <c r="G1346" s="37" t="n">
        <v>0.250925925925926</v>
      </c>
    </row>
    <row r="1347" customFormat="false" ht="15" hidden="false" customHeight="false" outlineLevel="0" collapsed="false">
      <c r="A1347" s="20" t="s">
        <v>1673</v>
      </c>
      <c r="B1347" s="20" t="s">
        <v>194</v>
      </c>
      <c r="C1347" s="9" t="s">
        <v>203</v>
      </c>
      <c r="D1347" s="9" t="n">
        <v>18</v>
      </c>
      <c r="E1347" s="30" t="n">
        <v>17280</v>
      </c>
      <c r="F1347" s="30" t="n">
        <v>3312</v>
      </c>
      <c r="G1347" s="35" t="n">
        <v>0.191666666666667</v>
      </c>
    </row>
    <row r="1348" customFormat="false" ht="15" hidden="false" customHeight="false" outlineLevel="0" collapsed="false">
      <c r="A1348" s="25" t="s">
        <v>1674</v>
      </c>
      <c r="B1348" s="25" t="s">
        <v>194</v>
      </c>
      <c r="C1348" s="29" t="s">
        <v>203</v>
      </c>
      <c r="D1348" s="29" t="n">
        <v>26</v>
      </c>
      <c r="E1348" s="31" t="n">
        <v>17264</v>
      </c>
      <c r="F1348" s="31" t="n">
        <v>6708</v>
      </c>
      <c r="G1348" s="37" t="n">
        <v>0.38855421686747</v>
      </c>
    </row>
    <row r="1349" customFormat="false" ht="15" hidden="false" customHeight="false" outlineLevel="0" collapsed="false">
      <c r="A1349" s="20" t="s">
        <v>1675</v>
      </c>
      <c r="B1349" s="9" t="s">
        <v>253</v>
      </c>
      <c r="C1349" s="9" t="s">
        <v>254</v>
      </c>
      <c r="D1349" s="9" t="n">
        <v>10</v>
      </c>
      <c r="E1349" s="30" t="n">
        <v>17260</v>
      </c>
      <c r="F1349" s="30" t="n">
        <v>14970</v>
      </c>
      <c r="G1349" s="35" t="n">
        <v>0.867323290845886</v>
      </c>
    </row>
    <row r="1350" customFormat="false" ht="15" hidden="false" customHeight="false" outlineLevel="0" collapsed="false">
      <c r="A1350" s="25" t="s">
        <v>1676</v>
      </c>
      <c r="B1350" s="29" t="s">
        <v>253</v>
      </c>
      <c r="C1350" s="29" t="s">
        <v>254</v>
      </c>
      <c r="D1350" s="29" t="n">
        <v>10</v>
      </c>
      <c r="E1350" s="31" t="n">
        <v>17260</v>
      </c>
      <c r="F1350" s="31" t="n">
        <v>14970</v>
      </c>
      <c r="G1350" s="37" t="n">
        <v>0.867323290845886</v>
      </c>
    </row>
    <row r="1351" customFormat="false" ht="15" hidden="false" customHeight="false" outlineLevel="0" collapsed="false">
      <c r="A1351" s="20" t="s">
        <v>1677</v>
      </c>
      <c r="B1351" s="20" t="s">
        <v>194</v>
      </c>
      <c r="C1351" s="9" t="s">
        <v>203</v>
      </c>
      <c r="D1351" s="9" t="n">
        <v>4</v>
      </c>
      <c r="E1351" s="30" t="n">
        <v>17260</v>
      </c>
      <c r="F1351" s="30" t="n">
        <v>8096</v>
      </c>
      <c r="G1351" s="35" t="n">
        <v>0.469061413673233</v>
      </c>
    </row>
    <row r="1352" customFormat="false" ht="15" hidden="false" customHeight="false" outlineLevel="0" collapsed="false">
      <c r="A1352" s="25" t="s">
        <v>1678</v>
      </c>
      <c r="B1352" s="25" t="s">
        <v>194</v>
      </c>
      <c r="C1352" s="29" t="s">
        <v>217</v>
      </c>
      <c r="D1352" s="29" t="n">
        <v>4</v>
      </c>
      <c r="E1352" s="31" t="n">
        <v>17228</v>
      </c>
      <c r="F1352" s="31" t="n">
        <v>2532</v>
      </c>
      <c r="G1352" s="37" t="n">
        <v>0.146970048757836</v>
      </c>
    </row>
    <row r="1353" customFormat="false" ht="15" hidden="false" customHeight="false" outlineLevel="0" collapsed="false">
      <c r="A1353" s="20" t="s">
        <v>1679</v>
      </c>
      <c r="B1353" s="20" t="s">
        <v>194</v>
      </c>
      <c r="C1353" s="9" t="s">
        <v>485</v>
      </c>
      <c r="D1353" s="9" t="n">
        <v>2</v>
      </c>
      <c r="E1353" s="30" t="n">
        <v>17212</v>
      </c>
      <c r="F1353" s="30" t="n">
        <v>2716</v>
      </c>
      <c r="G1353" s="35" t="n">
        <v>0.157796885893563</v>
      </c>
    </row>
    <row r="1354" customFormat="false" ht="15" hidden="false" customHeight="false" outlineLevel="0" collapsed="false">
      <c r="A1354" s="25" t="s">
        <v>1680</v>
      </c>
      <c r="B1354" s="29" t="s">
        <v>253</v>
      </c>
      <c r="C1354" s="29" t="s">
        <v>254</v>
      </c>
      <c r="D1354" s="29" t="n">
        <v>4</v>
      </c>
      <c r="E1354" s="31" t="n">
        <v>17192</v>
      </c>
      <c r="F1354" s="31" t="n">
        <v>14816</v>
      </c>
      <c r="G1354" s="37" t="n">
        <v>0.861796184271754</v>
      </c>
    </row>
    <row r="1355" customFormat="false" ht="15" hidden="false" customHeight="false" outlineLevel="0" collapsed="false">
      <c r="A1355" s="20" t="s">
        <v>1681</v>
      </c>
      <c r="B1355" s="20" t="s">
        <v>194</v>
      </c>
      <c r="C1355" s="9" t="s">
        <v>203</v>
      </c>
      <c r="D1355" s="9" t="n">
        <v>2</v>
      </c>
      <c r="E1355" s="30" t="n">
        <v>17166</v>
      </c>
      <c r="F1355" s="30" t="n">
        <v>9386</v>
      </c>
      <c r="G1355" s="35" t="n">
        <v>0.546778515670512</v>
      </c>
    </row>
    <row r="1356" customFormat="false" ht="15" hidden="false" customHeight="false" outlineLevel="0" collapsed="false">
      <c r="A1356" s="25" t="s">
        <v>1682</v>
      </c>
      <c r="B1356" s="25" t="s">
        <v>194</v>
      </c>
      <c r="C1356" s="29" t="s">
        <v>880</v>
      </c>
      <c r="D1356" s="29" t="n">
        <v>1</v>
      </c>
      <c r="E1356" s="31" t="n">
        <v>17138</v>
      </c>
      <c r="F1356" s="31" t="n">
        <v>2571</v>
      </c>
      <c r="G1356" s="37" t="n">
        <v>0.150017504959739</v>
      </c>
    </row>
    <row r="1357" customFormat="false" ht="15" hidden="false" customHeight="false" outlineLevel="0" collapsed="false">
      <c r="A1357" s="20" t="s">
        <v>1683</v>
      </c>
      <c r="B1357" s="20" t="s">
        <v>194</v>
      </c>
      <c r="C1357" s="9" t="s">
        <v>203</v>
      </c>
      <c r="D1357" s="9" t="n">
        <v>9</v>
      </c>
      <c r="E1357" s="30" t="n">
        <v>17118</v>
      </c>
      <c r="F1357" s="30" t="n">
        <v>3321</v>
      </c>
      <c r="G1357" s="35" t="n">
        <v>0.194006309148265</v>
      </c>
    </row>
    <row r="1358" customFormat="false" ht="15" hidden="false" customHeight="false" outlineLevel="0" collapsed="false">
      <c r="A1358" s="25" t="s">
        <v>1684</v>
      </c>
      <c r="B1358" s="29" t="s">
        <v>253</v>
      </c>
      <c r="C1358" s="29" t="s">
        <v>428</v>
      </c>
      <c r="D1358" s="29" t="n">
        <v>5</v>
      </c>
      <c r="E1358" s="31" t="n">
        <v>17075</v>
      </c>
      <c r="F1358" s="31" t="n">
        <v>7605</v>
      </c>
      <c r="G1358" s="37" t="n">
        <v>0.445387994143485</v>
      </c>
    </row>
    <row r="1359" customFormat="false" ht="15" hidden="false" customHeight="false" outlineLevel="0" collapsed="false">
      <c r="A1359" s="20" t="s">
        <v>1685</v>
      </c>
      <c r="B1359" s="20" t="s">
        <v>194</v>
      </c>
      <c r="C1359" s="9" t="s">
        <v>297</v>
      </c>
      <c r="D1359" s="9" t="n">
        <v>12</v>
      </c>
      <c r="E1359" s="30" t="n">
        <v>17052</v>
      </c>
      <c r="F1359" s="30" t="n">
        <v>5340</v>
      </c>
      <c r="G1359" s="35" t="n">
        <v>0.313159746657284</v>
      </c>
    </row>
    <row r="1360" customFormat="false" ht="15" hidden="false" customHeight="false" outlineLevel="0" collapsed="false">
      <c r="A1360" s="25" t="s">
        <v>1686</v>
      </c>
      <c r="B1360" s="25" t="s">
        <v>194</v>
      </c>
      <c r="C1360" s="29" t="s">
        <v>203</v>
      </c>
      <c r="D1360" s="29" t="n">
        <v>8</v>
      </c>
      <c r="E1360" s="31" t="n">
        <v>17032</v>
      </c>
      <c r="F1360" s="31" t="n">
        <v>2554</v>
      </c>
      <c r="G1360" s="37" t="n">
        <v>0.149953029591357</v>
      </c>
    </row>
    <row r="1361" customFormat="false" ht="15" hidden="false" customHeight="false" outlineLevel="0" collapsed="false">
      <c r="A1361" s="20" t="s">
        <v>1687</v>
      </c>
      <c r="B1361" s="20" t="s">
        <v>194</v>
      </c>
      <c r="C1361" s="9" t="s">
        <v>206</v>
      </c>
      <c r="D1361" s="9" t="n">
        <v>22</v>
      </c>
      <c r="E1361" s="30" t="n">
        <v>16984</v>
      </c>
      <c r="F1361" s="30" t="n">
        <v>4400</v>
      </c>
      <c r="G1361" s="35" t="n">
        <v>0.259067357512953</v>
      </c>
    </row>
    <row r="1362" customFormat="false" ht="15" hidden="false" customHeight="false" outlineLevel="0" collapsed="false">
      <c r="A1362" s="25" t="s">
        <v>1688</v>
      </c>
      <c r="B1362" s="25" t="s">
        <v>194</v>
      </c>
      <c r="C1362" s="29" t="s">
        <v>439</v>
      </c>
      <c r="D1362" s="29" t="n">
        <v>10</v>
      </c>
      <c r="E1362" s="31" t="n">
        <v>16970</v>
      </c>
      <c r="F1362" s="31" t="n">
        <v>2545</v>
      </c>
      <c r="G1362" s="37" t="n">
        <v>0.149970536240424</v>
      </c>
    </row>
    <row r="1363" customFormat="false" ht="15" hidden="false" customHeight="false" outlineLevel="0" collapsed="false">
      <c r="A1363" s="20" t="s">
        <v>1689</v>
      </c>
      <c r="B1363" s="20" t="s">
        <v>194</v>
      </c>
      <c r="C1363" s="9" t="s">
        <v>439</v>
      </c>
      <c r="D1363" s="9" t="n">
        <v>1</v>
      </c>
      <c r="E1363" s="30" t="n">
        <v>16939</v>
      </c>
      <c r="F1363" s="30" t="n">
        <v>6246</v>
      </c>
      <c r="G1363" s="35" t="n">
        <v>0.368734872188441</v>
      </c>
    </row>
    <row r="1364" customFormat="false" ht="15" hidden="false" customHeight="false" outlineLevel="0" collapsed="false">
      <c r="A1364" s="25" t="s">
        <v>1690</v>
      </c>
      <c r="B1364" s="25" t="s">
        <v>194</v>
      </c>
      <c r="C1364" s="29" t="s">
        <v>223</v>
      </c>
      <c r="D1364" s="29" t="n">
        <v>1</v>
      </c>
      <c r="E1364" s="31" t="n">
        <v>16881</v>
      </c>
      <c r="F1364" s="31" t="n">
        <v>4674</v>
      </c>
      <c r="G1364" s="37" t="n">
        <v>0.27687933179314</v>
      </c>
    </row>
    <row r="1365" customFormat="false" ht="15" hidden="false" customHeight="false" outlineLevel="0" collapsed="false">
      <c r="A1365" s="20" t="s">
        <v>1691</v>
      </c>
      <c r="B1365" s="20" t="s">
        <v>200</v>
      </c>
      <c r="C1365" s="9" t="s">
        <v>223</v>
      </c>
      <c r="D1365" s="9" t="n">
        <v>1</v>
      </c>
      <c r="E1365" s="30" t="n">
        <v>16819</v>
      </c>
      <c r="F1365" s="30" t="n">
        <v>5968</v>
      </c>
      <c r="G1365" s="35" t="n">
        <v>0.354836791723646</v>
      </c>
    </row>
    <row r="1366" customFormat="false" ht="15" hidden="false" customHeight="false" outlineLevel="0" collapsed="false">
      <c r="A1366" s="25" t="s">
        <v>1692</v>
      </c>
      <c r="B1366" s="25" t="s">
        <v>194</v>
      </c>
      <c r="C1366" s="29" t="s">
        <v>203</v>
      </c>
      <c r="D1366" s="29" t="n">
        <v>6</v>
      </c>
      <c r="E1366" s="31" t="n">
        <v>16800</v>
      </c>
      <c r="F1366" s="31" t="n">
        <v>5040</v>
      </c>
      <c r="G1366" s="37" t="n">
        <v>0.3</v>
      </c>
    </row>
    <row r="1367" customFormat="false" ht="15" hidden="false" customHeight="false" outlineLevel="0" collapsed="false">
      <c r="A1367" s="20" t="s">
        <v>1693</v>
      </c>
      <c r="B1367" s="9" t="s">
        <v>253</v>
      </c>
      <c r="C1367" s="9" t="s">
        <v>254</v>
      </c>
      <c r="D1367" s="9" t="n">
        <v>4</v>
      </c>
      <c r="E1367" s="30" t="n">
        <v>16744</v>
      </c>
      <c r="F1367" s="30" t="n">
        <v>14392</v>
      </c>
      <c r="G1367" s="35" t="n">
        <v>0.859531772575251</v>
      </c>
    </row>
    <row r="1368" customFormat="false" ht="15" hidden="false" customHeight="false" outlineLevel="0" collapsed="false">
      <c r="A1368" s="25" t="s">
        <v>1694</v>
      </c>
      <c r="B1368" s="25" t="s">
        <v>200</v>
      </c>
      <c r="C1368" s="29" t="s">
        <v>297</v>
      </c>
      <c r="D1368" s="29" t="n">
        <v>10</v>
      </c>
      <c r="E1368" s="31" t="n">
        <v>16710</v>
      </c>
      <c r="F1368" s="31" t="n">
        <v>5250</v>
      </c>
      <c r="G1368" s="37" t="n">
        <v>0.314183123877917</v>
      </c>
    </row>
    <row r="1369" customFormat="false" ht="15" hidden="false" customHeight="false" outlineLevel="0" collapsed="false">
      <c r="A1369" s="20" t="s">
        <v>1695</v>
      </c>
      <c r="B1369" s="9" t="s">
        <v>688</v>
      </c>
      <c r="C1369" s="9" t="s">
        <v>209</v>
      </c>
      <c r="D1369" s="9" t="n">
        <v>159</v>
      </c>
      <c r="E1369" s="30" t="n">
        <v>16695</v>
      </c>
      <c r="F1369" s="30" t="n">
        <v>2502</v>
      </c>
      <c r="G1369" s="35" t="n">
        <v>0.149865229110512</v>
      </c>
    </row>
    <row r="1370" customFormat="false" ht="15" hidden="false" customHeight="false" outlineLevel="0" collapsed="false">
      <c r="A1370" s="25" t="s">
        <v>1696</v>
      </c>
      <c r="B1370" s="25" t="s">
        <v>194</v>
      </c>
      <c r="C1370" s="29" t="s">
        <v>203</v>
      </c>
      <c r="D1370" s="29" t="n">
        <v>1</v>
      </c>
      <c r="E1370" s="31" t="n">
        <v>16664</v>
      </c>
      <c r="F1370" s="31" t="n">
        <v>5975</v>
      </c>
      <c r="G1370" s="37" t="n">
        <v>0.358557369179069</v>
      </c>
    </row>
    <row r="1371" customFormat="false" ht="15" hidden="false" customHeight="false" outlineLevel="0" collapsed="false">
      <c r="A1371" s="20" t="s">
        <v>1697</v>
      </c>
      <c r="B1371" s="9" t="s">
        <v>253</v>
      </c>
      <c r="C1371" s="9" t="s">
        <v>428</v>
      </c>
      <c r="D1371" s="9" t="n">
        <v>20</v>
      </c>
      <c r="E1371" s="30" t="n">
        <v>16620</v>
      </c>
      <c r="F1371" s="30" t="n">
        <v>9460</v>
      </c>
      <c r="G1371" s="35" t="n">
        <v>0.569193742478941</v>
      </c>
    </row>
    <row r="1372" customFormat="false" ht="15" hidden="false" customHeight="false" outlineLevel="0" collapsed="false">
      <c r="A1372" s="25" t="s">
        <v>1698</v>
      </c>
      <c r="B1372" s="29" t="s">
        <v>253</v>
      </c>
      <c r="C1372" s="29" t="s">
        <v>428</v>
      </c>
      <c r="D1372" s="29" t="n">
        <v>20</v>
      </c>
      <c r="E1372" s="31" t="n">
        <v>16560</v>
      </c>
      <c r="F1372" s="31" t="n">
        <v>10600</v>
      </c>
      <c r="G1372" s="37" t="n">
        <v>0.640096618357488</v>
      </c>
    </row>
    <row r="1373" customFormat="false" ht="15" hidden="false" customHeight="false" outlineLevel="0" collapsed="false">
      <c r="A1373" s="20" t="s">
        <v>1699</v>
      </c>
      <c r="B1373" s="20" t="s">
        <v>194</v>
      </c>
      <c r="C1373" s="9" t="s">
        <v>203</v>
      </c>
      <c r="D1373" s="9" t="n">
        <v>16</v>
      </c>
      <c r="E1373" s="30" t="n">
        <v>16480</v>
      </c>
      <c r="F1373" s="30" t="n">
        <v>12272</v>
      </c>
      <c r="G1373" s="35" t="n">
        <v>0.744660194174757</v>
      </c>
    </row>
    <row r="1374" customFormat="false" ht="15" hidden="false" customHeight="false" outlineLevel="0" collapsed="false">
      <c r="A1374" s="25" t="s">
        <v>1700</v>
      </c>
      <c r="B1374" s="25" t="s">
        <v>194</v>
      </c>
      <c r="C1374" s="29" t="s">
        <v>334</v>
      </c>
      <c r="D1374" s="29" t="n">
        <v>4</v>
      </c>
      <c r="E1374" s="31" t="n">
        <v>16464</v>
      </c>
      <c r="F1374" s="31" t="n">
        <v>6932</v>
      </c>
      <c r="G1374" s="37" t="n">
        <v>0.421039844509232</v>
      </c>
    </row>
    <row r="1375" customFormat="false" ht="15" hidden="false" customHeight="false" outlineLevel="0" collapsed="false">
      <c r="A1375" s="20" t="s">
        <v>1701</v>
      </c>
      <c r="B1375" s="20" t="s">
        <v>194</v>
      </c>
      <c r="C1375" s="9" t="s">
        <v>334</v>
      </c>
      <c r="D1375" s="9" t="n">
        <v>16</v>
      </c>
      <c r="E1375" s="30" t="n">
        <v>16464</v>
      </c>
      <c r="F1375" s="30" t="n">
        <v>3008</v>
      </c>
      <c r="G1375" s="35" t="n">
        <v>0.182701652089407</v>
      </c>
    </row>
    <row r="1376" customFormat="false" ht="15" hidden="false" customHeight="false" outlineLevel="0" collapsed="false">
      <c r="A1376" s="25" t="s">
        <v>1702</v>
      </c>
      <c r="B1376" s="25" t="s">
        <v>200</v>
      </c>
      <c r="C1376" s="29" t="s">
        <v>223</v>
      </c>
      <c r="D1376" s="29" t="n">
        <v>24</v>
      </c>
      <c r="E1376" s="31" t="n">
        <v>16440</v>
      </c>
      <c r="F1376" s="31" t="n">
        <v>10440</v>
      </c>
      <c r="G1376" s="37" t="n">
        <v>0.635036496350365</v>
      </c>
    </row>
    <row r="1377" customFormat="false" ht="15" hidden="false" customHeight="false" outlineLevel="0" collapsed="false">
      <c r="A1377" s="20" t="s">
        <v>1703</v>
      </c>
      <c r="B1377" s="20" t="s">
        <v>194</v>
      </c>
      <c r="C1377" s="9" t="s">
        <v>203</v>
      </c>
      <c r="D1377" s="9" t="n">
        <v>2</v>
      </c>
      <c r="E1377" s="30" t="n">
        <v>16412</v>
      </c>
      <c r="F1377" s="30" t="n">
        <v>4382</v>
      </c>
      <c r="G1377" s="35" t="n">
        <v>0.266999756275896</v>
      </c>
    </row>
    <row r="1378" customFormat="false" ht="15" hidden="false" customHeight="false" outlineLevel="0" collapsed="false">
      <c r="A1378" s="25" t="s">
        <v>1704</v>
      </c>
      <c r="B1378" s="25" t="s">
        <v>200</v>
      </c>
      <c r="C1378" s="29" t="s">
        <v>880</v>
      </c>
      <c r="D1378" s="29" t="n">
        <v>1</v>
      </c>
      <c r="E1378" s="31" t="n">
        <v>16408</v>
      </c>
      <c r="F1378" s="31" t="n">
        <v>-6594</v>
      </c>
      <c r="G1378" s="37" t="n">
        <v>-0.401877133105802</v>
      </c>
    </row>
    <row r="1379" customFormat="false" ht="15" hidden="false" customHeight="false" outlineLevel="0" collapsed="false">
      <c r="A1379" s="20" t="s">
        <v>1705</v>
      </c>
      <c r="B1379" s="20" t="s">
        <v>200</v>
      </c>
      <c r="C1379" s="9" t="s">
        <v>223</v>
      </c>
      <c r="D1379" s="9" t="n">
        <v>6</v>
      </c>
      <c r="E1379" s="30" t="n">
        <v>16392</v>
      </c>
      <c r="F1379" s="30" t="n">
        <v>1356</v>
      </c>
      <c r="G1379" s="35" t="n">
        <v>0.082723279648609</v>
      </c>
    </row>
    <row r="1380" customFormat="false" ht="15" hidden="false" customHeight="false" outlineLevel="0" collapsed="false">
      <c r="A1380" s="25" t="s">
        <v>1706</v>
      </c>
      <c r="B1380" s="29" t="s">
        <v>253</v>
      </c>
      <c r="C1380" s="29" t="s">
        <v>223</v>
      </c>
      <c r="D1380" s="29" t="n">
        <v>4</v>
      </c>
      <c r="E1380" s="31" t="n">
        <v>16360</v>
      </c>
      <c r="F1380" s="31" t="n">
        <v>3628</v>
      </c>
      <c r="G1380" s="37" t="n">
        <v>0.221760391198044</v>
      </c>
    </row>
    <row r="1381" customFormat="false" ht="15" hidden="false" customHeight="false" outlineLevel="0" collapsed="false">
      <c r="A1381" s="20" t="s">
        <v>1707</v>
      </c>
      <c r="B1381" s="20" t="s">
        <v>240</v>
      </c>
      <c r="C1381" s="9" t="s">
        <v>768</v>
      </c>
      <c r="D1381" s="9" t="n">
        <v>11</v>
      </c>
      <c r="E1381" s="30" t="n">
        <v>16335</v>
      </c>
      <c r="F1381" s="30" t="n">
        <v>11275</v>
      </c>
      <c r="G1381" s="35" t="n">
        <v>0.69023569023569</v>
      </c>
    </row>
    <row r="1382" customFormat="false" ht="15" hidden="false" customHeight="false" outlineLevel="0" collapsed="false">
      <c r="A1382" s="25" t="s">
        <v>1708</v>
      </c>
      <c r="B1382" s="25" t="s">
        <v>200</v>
      </c>
      <c r="C1382" s="29" t="s">
        <v>439</v>
      </c>
      <c r="D1382" s="29" t="n">
        <v>2</v>
      </c>
      <c r="E1382" s="31" t="n">
        <v>16298</v>
      </c>
      <c r="F1382" s="31" t="n">
        <v>1616</v>
      </c>
      <c r="G1382" s="37" t="n">
        <v>0.099153270339919</v>
      </c>
    </row>
    <row r="1383" customFormat="false" ht="15" hidden="false" customHeight="false" outlineLevel="0" collapsed="false">
      <c r="A1383" s="20" t="s">
        <v>1709</v>
      </c>
      <c r="B1383" s="20" t="s">
        <v>194</v>
      </c>
      <c r="C1383" s="9" t="s">
        <v>203</v>
      </c>
      <c r="D1383" s="9" t="n">
        <v>18</v>
      </c>
      <c r="E1383" s="30" t="n">
        <v>16290</v>
      </c>
      <c r="F1383" s="30" t="n">
        <v>8694</v>
      </c>
      <c r="G1383" s="35" t="n">
        <v>0.533701657458564</v>
      </c>
    </row>
    <row r="1384" customFormat="false" ht="15" hidden="false" customHeight="false" outlineLevel="0" collapsed="false">
      <c r="A1384" s="25" t="s">
        <v>1710</v>
      </c>
      <c r="B1384" s="25" t="s">
        <v>194</v>
      </c>
      <c r="C1384" s="29" t="s">
        <v>368</v>
      </c>
      <c r="D1384" s="29" t="n">
        <v>6</v>
      </c>
      <c r="E1384" s="31" t="n">
        <v>16278</v>
      </c>
      <c r="F1384" s="31" t="n">
        <v>2442</v>
      </c>
      <c r="G1384" s="37" t="n">
        <v>0.150018429782529</v>
      </c>
    </row>
    <row r="1385" customFormat="false" ht="15" hidden="false" customHeight="false" outlineLevel="0" collapsed="false">
      <c r="A1385" s="20" t="s">
        <v>1711</v>
      </c>
      <c r="B1385" s="20" t="s">
        <v>194</v>
      </c>
      <c r="C1385" s="9" t="s">
        <v>236</v>
      </c>
      <c r="D1385" s="9" t="n">
        <v>20</v>
      </c>
      <c r="E1385" s="30" t="n">
        <v>16240</v>
      </c>
      <c r="F1385" s="30" t="n">
        <v>12240</v>
      </c>
      <c r="G1385" s="35" t="n">
        <v>0.753694581280788</v>
      </c>
    </row>
    <row r="1386" customFormat="false" ht="15" hidden="false" customHeight="false" outlineLevel="0" collapsed="false">
      <c r="A1386" s="25" t="s">
        <v>1712</v>
      </c>
      <c r="B1386" s="25" t="s">
        <v>194</v>
      </c>
      <c r="C1386" s="29" t="s">
        <v>203</v>
      </c>
      <c r="D1386" s="29" t="n">
        <v>16</v>
      </c>
      <c r="E1386" s="31" t="n">
        <v>16240</v>
      </c>
      <c r="F1386" s="31" t="n">
        <v>11440</v>
      </c>
      <c r="G1386" s="37" t="n">
        <v>0.704433497536946</v>
      </c>
    </row>
    <row r="1387" customFormat="false" ht="15" hidden="false" customHeight="false" outlineLevel="0" collapsed="false">
      <c r="A1387" s="20" t="s">
        <v>1713</v>
      </c>
      <c r="B1387" s="20" t="s">
        <v>1581</v>
      </c>
      <c r="C1387" s="9" t="s">
        <v>334</v>
      </c>
      <c r="D1387" s="9" t="n">
        <v>41</v>
      </c>
      <c r="E1387" s="30" t="n">
        <v>16195</v>
      </c>
      <c r="F1387" s="30" t="n">
        <v>2429</v>
      </c>
      <c r="G1387" s="35" t="n">
        <v>0.149984563136771</v>
      </c>
    </row>
    <row r="1388" customFormat="false" ht="15" hidden="false" customHeight="false" outlineLevel="0" collapsed="false">
      <c r="A1388" s="25" t="s">
        <v>1714</v>
      </c>
      <c r="B1388" s="29" t="s">
        <v>281</v>
      </c>
      <c r="C1388" s="29" t="s">
        <v>197</v>
      </c>
      <c r="D1388" s="29" t="n">
        <v>2</v>
      </c>
      <c r="E1388" s="31" t="n">
        <v>16176</v>
      </c>
      <c r="F1388" s="31" t="n">
        <v>3668</v>
      </c>
      <c r="G1388" s="37" t="n">
        <v>0.22675568743818</v>
      </c>
    </row>
    <row r="1389" customFormat="false" ht="15" hidden="false" customHeight="false" outlineLevel="0" collapsed="false">
      <c r="A1389" s="20" t="s">
        <v>1715</v>
      </c>
      <c r="B1389" s="20" t="s">
        <v>194</v>
      </c>
      <c r="C1389" s="9" t="s">
        <v>380</v>
      </c>
      <c r="D1389" s="9" t="n">
        <v>6</v>
      </c>
      <c r="E1389" s="30" t="n">
        <v>16128</v>
      </c>
      <c r="F1389" s="30" t="n">
        <v>3864</v>
      </c>
      <c r="G1389" s="35" t="n">
        <v>0.239583333333333</v>
      </c>
    </row>
    <row r="1390" customFormat="false" ht="15" hidden="false" customHeight="false" outlineLevel="0" collapsed="false">
      <c r="A1390" s="25" t="s">
        <v>1716</v>
      </c>
      <c r="B1390" s="29" t="s">
        <v>253</v>
      </c>
      <c r="C1390" s="29" t="s">
        <v>254</v>
      </c>
      <c r="D1390" s="29" t="n">
        <v>38</v>
      </c>
      <c r="E1390" s="31" t="n">
        <v>16112</v>
      </c>
      <c r="F1390" s="31" t="n">
        <v>6764</v>
      </c>
      <c r="G1390" s="37" t="n">
        <v>0.419811320754717</v>
      </c>
    </row>
    <row r="1391" customFormat="false" ht="15" hidden="false" customHeight="false" outlineLevel="0" collapsed="false">
      <c r="A1391" s="20" t="s">
        <v>1717</v>
      </c>
      <c r="B1391" s="9" t="s">
        <v>253</v>
      </c>
      <c r="C1391" s="9" t="s">
        <v>254</v>
      </c>
      <c r="D1391" s="9" t="n">
        <v>38</v>
      </c>
      <c r="E1391" s="30" t="n">
        <v>16112</v>
      </c>
      <c r="F1391" s="30" t="n">
        <v>6916</v>
      </c>
      <c r="G1391" s="35" t="n">
        <v>0.429245283018868</v>
      </c>
    </row>
    <row r="1392" customFormat="false" ht="15" hidden="false" customHeight="false" outlineLevel="0" collapsed="false">
      <c r="A1392" s="25" t="s">
        <v>1718</v>
      </c>
      <c r="B1392" s="29" t="s">
        <v>253</v>
      </c>
      <c r="C1392" s="29" t="s">
        <v>254</v>
      </c>
      <c r="D1392" s="29" t="n">
        <v>38</v>
      </c>
      <c r="E1392" s="31" t="n">
        <v>16112</v>
      </c>
      <c r="F1392" s="31" t="n">
        <v>11932</v>
      </c>
      <c r="G1392" s="37" t="n">
        <v>0.740566037735849</v>
      </c>
    </row>
    <row r="1393" customFormat="false" ht="15" hidden="false" customHeight="false" outlineLevel="0" collapsed="false">
      <c r="A1393" s="20" t="s">
        <v>1719</v>
      </c>
      <c r="B1393" s="20" t="s">
        <v>194</v>
      </c>
      <c r="C1393" s="9" t="s">
        <v>203</v>
      </c>
      <c r="D1393" s="9" t="n">
        <v>4</v>
      </c>
      <c r="E1393" s="30" t="n">
        <v>15948</v>
      </c>
      <c r="F1393" s="30" t="n">
        <v>5888</v>
      </c>
      <c r="G1393" s="35" t="n">
        <v>0.36919989967394</v>
      </c>
    </row>
    <row r="1394" customFormat="false" ht="15" hidden="false" customHeight="false" outlineLevel="0" collapsed="false">
      <c r="A1394" s="25" t="s">
        <v>1720</v>
      </c>
      <c r="B1394" s="29" t="s">
        <v>253</v>
      </c>
      <c r="C1394" s="29" t="s">
        <v>428</v>
      </c>
      <c r="D1394" s="29" t="n">
        <v>4</v>
      </c>
      <c r="E1394" s="31" t="n">
        <v>15872</v>
      </c>
      <c r="F1394" s="31" t="n">
        <v>-1228</v>
      </c>
      <c r="G1394" s="37" t="n">
        <v>-0.0773689516129032</v>
      </c>
    </row>
    <row r="1395" customFormat="false" ht="15" hidden="false" customHeight="false" outlineLevel="0" collapsed="false">
      <c r="A1395" s="20" t="s">
        <v>1721</v>
      </c>
      <c r="B1395" s="20" t="s">
        <v>194</v>
      </c>
      <c r="C1395" s="9" t="s">
        <v>391</v>
      </c>
      <c r="D1395" s="9" t="n">
        <v>3</v>
      </c>
      <c r="E1395" s="30" t="n">
        <v>15864</v>
      </c>
      <c r="F1395" s="30" t="n">
        <v>1224</v>
      </c>
      <c r="G1395" s="35" t="n">
        <v>0.0771558245083207</v>
      </c>
    </row>
    <row r="1396" customFormat="false" ht="15" hidden="false" customHeight="false" outlineLevel="0" collapsed="false">
      <c r="A1396" s="25" t="s">
        <v>1722</v>
      </c>
      <c r="B1396" s="25" t="s">
        <v>194</v>
      </c>
      <c r="C1396" s="29" t="s">
        <v>231</v>
      </c>
      <c r="D1396" s="29" t="n">
        <v>8</v>
      </c>
      <c r="E1396" s="31" t="n">
        <v>15858</v>
      </c>
      <c r="F1396" s="31" t="n">
        <v>7290</v>
      </c>
      <c r="G1396" s="37" t="n">
        <v>0.459704880817253</v>
      </c>
    </row>
    <row r="1397" customFormat="false" ht="15" hidden="false" customHeight="false" outlineLevel="0" collapsed="false">
      <c r="A1397" s="20" t="s">
        <v>1723</v>
      </c>
      <c r="B1397" s="20" t="s">
        <v>200</v>
      </c>
      <c r="C1397" s="9" t="s">
        <v>223</v>
      </c>
      <c r="D1397" s="9" t="n">
        <v>5</v>
      </c>
      <c r="E1397" s="30" t="n">
        <v>15795</v>
      </c>
      <c r="F1397" s="30" t="n">
        <v>5185</v>
      </c>
      <c r="G1397" s="35" t="n">
        <v>0.32826843937955</v>
      </c>
    </row>
    <row r="1398" customFormat="false" ht="15" hidden="false" customHeight="false" outlineLevel="0" collapsed="false">
      <c r="A1398" s="25" t="s">
        <v>1724</v>
      </c>
      <c r="B1398" s="25" t="s">
        <v>194</v>
      </c>
      <c r="C1398" s="29" t="s">
        <v>195</v>
      </c>
      <c r="D1398" s="29" t="n">
        <v>3</v>
      </c>
      <c r="E1398" s="31" t="n">
        <v>15774</v>
      </c>
      <c r="F1398" s="31" t="n">
        <v>2319</v>
      </c>
      <c r="G1398" s="37" t="n">
        <v>0.147014073792316</v>
      </c>
    </row>
    <row r="1399" customFormat="false" ht="15" hidden="false" customHeight="false" outlineLevel="0" collapsed="false">
      <c r="A1399" s="20" t="s">
        <v>1725</v>
      </c>
      <c r="B1399" s="20" t="s">
        <v>194</v>
      </c>
      <c r="C1399" s="9" t="s">
        <v>195</v>
      </c>
      <c r="D1399" s="9" t="n">
        <v>5</v>
      </c>
      <c r="E1399" s="30" t="n">
        <v>15755</v>
      </c>
      <c r="F1399" s="30" t="n">
        <v>1395</v>
      </c>
      <c r="G1399" s="35" t="n">
        <v>0.0885433195810853</v>
      </c>
    </row>
    <row r="1400" customFormat="false" ht="15" hidden="false" customHeight="false" outlineLevel="0" collapsed="false">
      <c r="A1400" s="25" t="s">
        <v>1726</v>
      </c>
      <c r="B1400" s="25" t="s">
        <v>194</v>
      </c>
      <c r="C1400" s="29" t="s">
        <v>203</v>
      </c>
      <c r="D1400" s="29" t="n">
        <v>10</v>
      </c>
      <c r="E1400" s="31" t="n">
        <v>15700</v>
      </c>
      <c r="F1400" s="31" t="n">
        <v>3820</v>
      </c>
      <c r="G1400" s="37" t="n">
        <v>0.243312101910828</v>
      </c>
    </row>
    <row r="1401" customFormat="false" ht="15" hidden="false" customHeight="false" outlineLevel="0" collapsed="false">
      <c r="A1401" s="20" t="s">
        <v>1727</v>
      </c>
      <c r="B1401" s="20" t="s">
        <v>200</v>
      </c>
      <c r="C1401" s="9" t="s">
        <v>880</v>
      </c>
      <c r="D1401" s="9" t="n">
        <v>1</v>
      </c>
      <c r="E1401" s="30" t="n">
        <v>15684</v>
      </c>
      <c r="F1401" s="30" t="n">
        <v>14134</v>
      </c>
      <c r="G1401" s="35" t="n">
        <v>0.901173170109666</v>
      </c>
    </row>
    <row r="1402" customFormat="false" ht="15" hidden="false" customHeight="false" outlineLevel="0" collapsed="false">
      <c r="A1402" s="25" t="s">
        <v>1728</v>
      </c>
      <c r="B1402" s="25" t="s">
        <v>194</v>
      </c>
      <c r="C1402" s="29" t="s">
        <v>203</v>
      </c>
      <c r="D1402" s="29" t="n">
        <v>5</v>
      </c>
      <c r="E1402" s="31" t="n">
        <v>15670</v>
      </c>
      <c r="F1402" s="31" t="n">
        <v>-760</v>
      </c>
      <c r="G1402" s="37" t="n">
        <v>-0.0485003190810465</v>
      </c>
    </row>
    <row r="1403" customFormat="false" ht="15" hidden="false" customHeight="false" outlineLevel="0" collapsed="false">
      <c r="A1403" s="20" t="s">
        <v>1729</v>
      </c>
      <c r="B1403" s="20" t="s">
        <v>194</v>
      </c>
      <c r="C1403" s="9" t="s">
        <v>203</v>
      </c>
      <c r="D1403" s="9" t="n">
        <v>3</v>
      </c>
      <c r="E1403" s="30" t="n">
        <v>15621</v>
      </c>
      <c r="F1403" s="30" t="n">
        <v>6306</v>
      </c>
      <c r="G1403" s="35" t="n">
        <v>0.403687343960054</v>
      </c>
    </row>
    <row r="1404" customFormat="false" ht="15" hidden="false" customHeight="false" outlineLevel="0" collapsed="false">
      <c r="A1404" s="25" t="s">
        <v>1730</v>
      </c>
      <c r="B1404" s="25" t="s">
        <v>194</v>
      </c>
      <c r="C1404" s="29" t="s">
        <v>334</v>
      </c>
      <c r="D1404" s="29" t="n">
        <v>24</v>
      </c>
      <c r="E1404" s="31" t="n">
        <v>15600</v>
      </c>
      <c r="F1404" s="31" t="n">
        <v>1104</v>
      </c>
      <c r="G1404" s="37" t="n">
        <v>0.0707692307692307</v>
      </c>
    </row>
    <row r="1405" customFormat="false" ht="15" hidden="false" customHeight="false" outlineLevel="0" collapsed="false">
      <c r="A1405" s="20" t="s">
        <v>1731</v>
      </c>
      <c r="B1405" s="20" t="s">
        <v>194</v>
      </c>
      <c r="C1405" s="9" t="s">
        <v>223</v>
      </c>
      <c r="D1405" s="9" t="n">
        <v>3</v>
      </c>
      <c r="E1405" s="30" t="n">
        <v>15600</v>
      </c>
      <c r="F1405" s="30" t="n">
        <v>6006</v>
      </c>
      <c r="G1405" s="35" t="n">
        <v>0.385</v>
      </c>
    </row>
    <row r="1406" customFormat="false" ht="15" hidden="false" customHeight="false" outlineLevel="0" collapsed="false">
      <c r="A1406" s="25" t="s">
        <v>1732</v>
      </c>
      <c r="B1406" s="25" t="s">
        <v>194</v>
      </c>
      <c r="C1406" s="29" t="s">
        <v>206</v>
      </c>
      <c r="D1406" s="29" t="n">
        <v>29</v>
      </c>
      <c r="E1406" s="31" t="n">
        <v>15544</v>
      </c>
      <c r="F1406" s="31" t="n">
        <v>2697</v>
      </c>
      <c r="G1406" s="37" t="n">
        <v>0.173507462686567</v>
      </c>
    </row>
    <row r="1407" customFormat="false" ht="15" hidden="false" customHeight="false" outlineLevel="0" collapsed="false">
      <c r="A1407" s="20" t="s">
        <v>1733</v>
      </c>
      <c r="B1407" s="9" t="s">
        <v>1734</v>
      </c>
      <c r="C1407" s="9" t="s">
        <v>334</v>
      </c>
      <c r="D1407" s="9" t="n">
        <v>60</v>
      </c>
      <c r="E1407" s="30" t="n">
        <v>15540</v>
      </c>
      <c r="F1407" s="30" t="n">
        <v>12960</v>
      </c>
      <c r="G1407" s="35" t="n">
        <v>0.833976833976834</v>
      </c>
    </row>
    <row r="1408" customFormat="false" ht="15" hidden="false" customHeight="false" outlineLevel="0" collapsed="false">
      <c r="A1408" s="25" t="s">
        <v>1735</v>
      </c>
      <c r="B1408" s="25" t="s">
        <v>194</v>
      </c>
      <c r="C1408" s="29" t="s">
        <v>334</v>
      </c>
      <c r="D1408" s="29" t="n">
        <v>20</v>
      </c>
      <c r="E1408" s="31" t="n">
        <v>15540</v>
      </c>
      <c r="F1408" s="31" t="n">
        <v>4480</v>
      </c>
      <c r="G1408" s="37" t="n">
        <v>0.288288288288288</v>
      </c>
    </row>
    <row r="1409" customFormat="false" ht="15" hidden="false" customHeight="false" outlineLevel="0" collapsed="false">
      <c r="A1409" s="20" t="s">
        <v>1736</v>
      </c>
      <c r="B1409" s="20" t="s">
        <v>194</v>
      </c>
      <c r="C1409" s="9" t="s">
        <v>223</v>
      </c>
      <c r="D1409" s="9" t="n">
        <v>9</v>
      </c>
      <c r="E1409" s="30" t="n">
        <v>15525</v>
      </c>
      <c r="F1409" s="30" t="n">
        <v>4752</v>
      </c>
      <c r="G1409" s="35" t="n">
        <v>0.306086956521739</v>
      </c>
    </row>
    <row r="1410" customFormat="false" ht="15" hidden="false" customHeight="false" outlineLevel="0" collapsed="false">
      <c r="A1410" s="25" t="s">
        <v>1737</v>
      </c>
      <c r="B1410" s="29" t="s">
        <v>253</v>
      </c>
      <c r="C1410" s="29" t="s">
        <v>254</v>
      </c>
      <c r="D1410" s="29" t="n">
        <v>4</v>
      </c>
      <c r="E1410" s="31" t="n">
        <v>15516</v>
      </c>
      <c r="F1410" s="31" t="n">
        <v>8084</v>
      </c>
      <c r="G1410" s="37" t="n">
        <v>0.521010569734468</v>
      </c>
    </row>
    <row r="1411" customFormat="false" ht="15" hidden="false" customHeight="false" outlineLevel="0" collapsed="false">
      <c r="A1411" s="20" t="s">
        <v>1738</v>
      </c>
      <c r="B1411" s="9" t="s">
        <v>1262</v>
      </c>
      <c r="C1411" s="9" t="s">
        <v>428</v>
      </c>
      <c r="D1411" s="9" t="n">
        <v>8</v>
      </c>
      <c r="E1411" s="30" t="n">
        <v>15512</v>
      </c>
      <c r="F1411" s="30" t="n">
        <v>9912</v>
      </c>
      <c r="G1411" s="35" t="n">
        <v>0.63898916967509</v>
      </c>
    </row>
    <row r="1412" customFormat="false" ht="15" hidden="false" customHeight="false" outlineLevel="0" collapsed="false">
      <c r="A1412" s="25" t="s">
        <v>1739</v>
      </c>
      <c r="B1412" s="25" t="s">
        <v>194</v>
      </c>
      <c r="C1412" s="29" t="s">
        <v>880</v>
      </c>
      <c r="D1412" s="29" t="n">
        <v>1</v>
      </c>
      <c r="E1412" s="31" t="n">
        <v>15486</v>
      </c>
      <c r="F1412" s="31" t="n">
        <v>13746</v>
      </c>
      <c r="G1412" s="37" t="n">
        <v>0.887640449438202</v>
      </c>
    </row>
    <row r="1413" customFormat="false" ht="15" hidden="false" customHeight="false" outlineLevel="0" collapsed="false">
      <c r="A1413" s="20" t="s">
        <v>1740</v>
      </c>
      <c r="B1413" s="20" t="s">
        <v>855</v>
      </c>
      <c r="C1413" s="9" t="s">
        <v>334</v>
      </c>
      <c r="D1413" s="9" t="n">
        <v>4</v>
      </c>
      <c r="E1413" s="30" t="n">
        <v>15484</v>
      </c>
      <c r="F1413" s="30" t="n">
        <v>2323</v>
      </c>
      <c r="G1413" s="35" t="n">
        <v>0.150025833118057</v>
      </c>
    </row>
    <row r="1414" customFormat="false" ht="15" hidden="false" customHeight="false" outlineLevel="0" collapsed="false">
      <c r="A1414" s="25" t="s">
        <v>1741</v>
      </c>
      <c r="B1414" s="25" t="s">
        <v>194</v>
      </c>
      <c r="C1414" s="29" t="s">
        <v>368</v>
      </c>
      <c r="D1414" s="29" t="n">
        <v>4</v>
      </c>
      <c r="E1414" s="31" t="n">
        <v>15468</v>
      </c>
      <c r="F1414" s="31" t="n">
        <v>3108</v>
      </c>
      <c r="G1414" s="37" t="n">
        <v>0.200930954228084</v>
      </c>
    </row>
    <row r="1415" customFormat="false" ht="15" hidden="false" customHeight="false" outlineLevel="0" collapsed="false">
      <c r="A1415" s="20" t="s">
        <v>1742</v>
      </c>
      <c r="B1415" s="9" t="s">
        <v>253</v>
      </c>
      <c r="C1415" s="9" t="s">
        <v>254</v>
      </c>
      <c r="D1415" s="9" t="n">
        <v>6</v>
      </c>
      <c r="E1415" s="30" t="n">
        <v>15426</v>
      </c>
      <c r="F1415" s="30" t="n">
        <v>5508</v>
      </c>
      <c r="G1415" s="35" t="n">
        <v>0.35705950991832</v>
      </c>
    </row>
    <row r="1416" customFormat="false" ht="15" hidden="false" customHeight="false" outlineLevel="0" collapsed="false">
      <c r="A1416" s="25" t="s">
        <v>1743</v>
      </c>
      <c r="B1416" s="29" t="s">
        <v>253</v>
      </c>
      <c r="C1416" s="29" t="s">
        <v>254</v>
      </c>
      <c r="D1416" s="29" t="n">
        <v>4</v>
      </c>
      <c r="E1416" s="31" t="n">
        <v>15320</v>
      </c>
      <c r="F1416" s="31" t="n">
        <v>7924</v>
      </c>
      <c r="G1416" s="37" t="n">
        <v>0.517232375979112</v>
      </c>
    </row>
    <row r="1417" customFormat="false" ht="15" hidden="false" customHeight="false" outlineLevel="0" collapsed="false">
      <c r="A1417" s="20" t="s">
        <v>1744</v>
      </c>
      <c r="B1417" s="20" t="s">
        <v>194</v>
      </c>
      <c r="C1417" s="9" t="s">
        <v>223</v>
      </c>
      <c r="D1417" s="9" t="n">
        <v>3</v>
      </c>
      <c r="E1417" s="30" t="n">
        <v>15246</v>
      </c>
      <c r="F1417" s="30" t="n">
        <v>2553</v>
      </c>
      <c r="G1417" s="35" t="n">
        <v>0.167453758362849</v>
      </c>
    </row>
    <row r="1418" customFormat="false" ht="15" hidden="false" customHeight="false" outlineLevel="0" collapsed="false">
      <c r="A1418" s="25" t="s">
        <v>1745</v>
      </c>
      <c r="B1418" s="29" t="s">
        <v>1746</v>
      </c>
      <c r="C1418" s="29" t="s">
        <v>290</v>
      </c>
      <c r="D1418" s="29" t="n">
        <v>10</v>
      </c>
      <c r="E1418" s="31" t="n">
        <v>15220</v>
      </c>
      <c r="F1418" s="31" t="n">
        <v>12620</v>
      </c>
      <c r="G1418" s="37" t="n">
        <v>0.829172141918528</v>
      </c>
    </row>
    <row r="1419" customFormat="false" ht="15" hidden="false" customHeight="false" outlineLevel="0" collapsed="false">
      <c r="A1419" s="20" t="s">
        <v>1747</v>
      </c>
      <c r="B1419" s="9" t="s">
        <v>253</v>
      </c>
      <c r="C1419" s="9" t="s">
        <v>254</v>
      </c>
      <c r="D1419" s="9" t="n">
        <v>4</v>
      </c>
      <c r="E1419" s="30" t="n">
        <v>15220</v>
      </c>
      <c r="F1419" s="30" t="n">
        <v>7840</v>
      </c>
      <c r="G1419" s="35" t="n">
        <v>0.515111695137976</v>
      </c>
    </row>
    <row r="1420" customFormat="false" ht="15" hidden="false" customHeight="false" outlineLevel="0" collapsed="false">
      <c r="A1420" s="25" t="s">
        <v>1748</v>
      </c>
      <c r="B1420" s="29" t="s">
        <v>253</v>
      </c>
      <c r="C1420" s="29" t="s">
        <v>428</v>
      </c>
      <c r="D1420" s="29" t="n">
        <v>7</v>
      </c>
      <c r="E1420" s="31" t="n">
        <v>15120</v>
      </c>
      <c r="F1420" s="31" t="n">
        <v>3794</v>
      </c>
      <c r="G1420" s="37" t="n">
        <v>0.250925925925926</v>
      </c>
    </row>
    <row r="1421" customFormat="false" ht="15" hidden="false" customHeight="false" outlineLevel="0" collapsed="false">
      <c r="A1421" s="20" t="s">
        <v>1749</v>
      </c>
      <c r="B1421" s="9" t="s">
        <v>1290</v>
      </c>
      <c r="C1421" s="9" t="s">
        <v>209</v>
      </c>
      <c r="D1421" s="9" t="n">
        <v>60</v>
      </c>
      <c r="E1421" s="30" t="n">
        <v>15120</v>
      </c>
      <c r="F1421" s="30" t="n">
        <v>2267</v>
      </c>
      <c r="G1421" s="35" t="n">
        <v>0.149933862433862</v>
      </c>
    </row>
    <row r="1422" customFormat="false" ht="15" hidden="false" customHeight="false" outlineLevel="0" collapsed="false">
      <c r="A1422" s="25" t="s">
        <v>1750</v>
      </c>
      <c r="B1422" s="29" t="s">
        <v>216</v>
      </c>
      <c r="C1422" s="29" t="s">
        <v>223</v>
      </c>
      <c r="D1422" s="29" t="n">
        <v>26</v>
      </c>
      <c r="E1422" s="31" t="n">
        <v>15080</v>
      </c>
      <c r="F1422" s="31" t="n">
        <v>-676</v>
      </c>
      <c r="G1422" s="37" t="n">
        <v>-0.0448275862068965</v>
      </c>
    </row>
    <row r="1423" customFormat="false" ht="15" hidden="false" customHeight="false" outlineLevel="0" collapsed="false">
      <c r="A1423" s="20" t="s">
        <v>1751</v>
      </c>
      <c r="B1423" s="9" t="s">
        <v>253</v>
      </c>
      <c r="C1423" s="9" t="s">
        <v>254</v>
      </c>
      <c r="D1423" s="9" t="n">
        <v>4</v>
      </c>
      <c r="E1423" s="30" t="n">
        <v>15024</v>
      </c>
      <c r="F1423" s="30" t="n">
        <v>7680</v>
      </c>
      <c r="G1423" s="35" t="n">
        <v>0.511182108626198</v>
      </c>
    </row>
    <row r="1424" customFormat="false" ht="15" hidden="false" customHeight="false" outlineLevel="0" collapsed="false">
      <c r="A1424" s="25" t="s">
        <v>1752</v>
      </c>
      <c r="B1424" s="25" t="s">
        <v>240</v>
      </c>
      <c r="C1424" s="29" t="s">
        <v>439</v>
      </c>
      <c r="D1424" s="29" t="n">
        <v>1</v>
      </c>
      <c r="E1424" s="31" t="n">
        <v>15003</v>
      </c>
      <c r="F1424" s="31" t="n">
        <v>9001</v>
      </c>
      <c r="G1424" s="37" t="n">
        <v>0.5999466773312</v>
      </c>
    </row>
    <row r="1425" customFormat="false" ht="15" hidden="false" customHeight="false" outlineLevel="0" collapsed="false">
      <c r="A1425" s="20" t="s">
        <v>1753</v>
      </c>
      <c r="B1425" s="20" t="s">
        <v>194</v>
      </c>
      <c r="C1425" s="9" t="s">
        <v>391</v>
      </c>
      <c r="D1425" s="9" t="n">
        <v>4</v>
      </c>
      <c r="E1425" s="30" t="n">
        <v>14928</v>
      </c>
      <c r="F1425" s="30" t="n">
        <v>3324</v>
      </c>
      <c r="G1425" s="35" t="n">
        <v>0.222668810289389</v>
      </c>
    </row>
    <row r="1426" customFormat="false" ht="15" hidden="false" customHeight="false" outlineLevel="0" collapsed="false">
      <c r="A1426" s="25" t="s">
        <v>1754</v>
      </c>
      <c r="B1426" s="25" t="s">
        <v>240</v>
      </c>
      <c r="C1426" s="29" t="s">
        <v>1755</v>
      </c>
      <c r="D1426" s="29" t="n">
        <v>7</v>
      </c>
      <c r="E1426" s="31" t="n">
        <v>14889</v>
      </c>
      <c r="F1426" s="31" t="n">
        <v>11389</v>
      </c>
      <c r="G1426" s="37" t="n">
        <v>0.764927127409497</v>
      </c>
    </row>
    <row r="1427" customFormat="false" ht="15" hidden="false" customHeight="false" outlineLevel="0" collapsed="false">
      <c r="A1427" s="20" t="s">
        <v>1756</v>
      </c>
      <c r="B1427" s="20" t="s">
        <v>240</v>
      </c>
      <c r="C1427" s="9" t="s">
        <v>223</v>
      </c>
      <c r="D1427" s="9" t="n">
        <v>2</v>
      </c>
      <c r="E1427" s="30" t="n">
        <v>14886</v>
      </c>
      <c r="F1427" s="30" t="n">
        <v>2232</v>
      </c>
      <c r="G1427" s="35" t="n">
        <v>0.14993954050786</v>
      </c>
    </row>
    <row r="1428" customFormat="false" ht="15" hidden="false" customHeight="false" outlineLevel="0" collapsed="false">
      <c r="A1428" s="25" t="s">
        <v>1757</v>
      </c>
      <c r="B1428" s="29" t="s">
        <v>253</v>
      </c>
      <c r="C1428" s="29" t="s">
        <v>254</v>
      </c>
      <c r="D1428" s="29" t="n">
        <v>4</v>
      </c>
      <c r="E1428" s="31" t="n">
        <v>14824</v>
      </c>
      <c r="F1428" s="31" t="n">
        <v>7516</v>
      </c>
      <c r="G1428" s="37" t="n">
        <v>0.507015650296816</v>
      </c>
    </row>
    <row r="1429" customFormat="false" ht="15" hidden="false" customHeight="false" outlineLevel="0" collapsed="false">
      <c r="A1429" s="20" t="s">
        <v>1758</v>
      </c>
      <c r="B1429" s="9" t="s">
        <v>253</v>
      </c>
      <c r="C1429" s="9" t="s">
        <v>368</v>
      </c>
      <c r="D1429" s="9" t="n">
        <v>3</v>
      </c>
      <c r="E1429" s="30" t="n">
        <v>14811</v>
      </c>
      <c r="F1429" s="30" t="n">
        <v>2223</v>
      </c>
      <c r="G1429" s="35" t="n">
        <v>0.150091148470731</v>
      </c>
    </row>
    <row r="1430" customFormat="false" ht="15" hidden="false" customHeight="false" outlineLevel="0" collapsed="false">
      <c r="A1430" s="25" t="s">
        <v>1759</v>
      </c>
      <c r="B1430" s="25" t="s">
        <v>200</v>
      </c>
      <c r="C1430" s="29" t="s">
        <v>223</v>
      </c>
      <c r="D1430" s="29" t="n">
        <v>8</v>
      </c>
      <c r="E1430" s="31" t="n">
        <v>14720</v>
      </c>
      <c r="F1430" s="31" t="n">
        <v>6440</v>
      </c>
      <c r="G1430" s="37" t="n">
        <v>0.4375</v>
      </c>
    </row>
    <row r="1431" customFormat="false" ht="15" hidden="false" customHeight="false" outlineLevel="0" collapsed="false">
      <c r="A1431" s="20" t="s">
        <v>1760</v>
      </c>
      <c r="B1431" s="9" t="s">
        <v>216</v>
      </c>
      <c r="C1431" s="9" t="s">
        <v>428</v>
      </c>
      <c r="D1431" s="9" t="n">
        <v>4</v>
      </c>
      <c r="E1431" s="30" t="n">
        <v>14708</v>
      </c>
      <c r="F1431" s="30" t="n">
        <v>5148</v>
      </c>
      <c r="G1431" s="35" t="n">
        <v>0.350013598041882</v>
      </c>
    </row>
    <row r="1432" customFormat="false" ht="15" hidden="false" customHeight="false" outlineLevel="0" collapsed="false">
      <c r="A1432" s="25" t="s">
        <v>1761</v>
      </c>
      <c r="B1432" s="25" t="s">
        <v>194</v>
      </c>
      <c r="C1432" s="29" t="s">
        <v>368</v>
      </c>
      <c r="D1432" s="29" t="n">
        <v>102</v>
      </c>
      <c r="E1432" s="31" t="n">
        <v>14688</v>
      </c>
      <c r="F1432" s="31" t="n">
        <v>12138</v>
      </c>
      <c r="G1432" s="37" t="n">
        <v>0.826388888888889</v>
      </c>
    </row>
    <row r="1433" customFormat="false" ht="15" hidden="false" customHeight="false" outlineLevel="0" collapsed="false">
      <c r="A1433" s="20" t="s">
        <v>1762</v>
      </c>
      <c r="B1433" s="20" t="s">
        <v>194</v>
      </c>
      <c r="C1433" s="9" t="s">
        <v>334</v>
      </c>
      <c r="D1433" s="9" t="n">
        <v>14</v>
      </c>
      <c r="E1433" s="30" t="n">
        <v>14672</v>
      </c>
      <c r="F1433" s="30" t="n">
        <v>8512</v>
      </c>
      <c r="G1433" s="35" t="n">
        <v>0.580152671755725</v>
      </c>
    </row>
    <row r="1434" customFormat="false" ht="15" hidden="false" customHeight="false" outlineLevel="0" collapsed="false">
      <c r="A1434" s="25" t="s">
        <v>1763</v>
      </c>
      <c r="B1434" s="25" t="s">
        <v>194</v>
      </c>
      <c r="C1434" s="29" t="s">
        <v>217</v>
      </c>
      <c r="D1434" s="29" t="n">
        <v>10</v>
      </c>
      <c r="E1434" s="31" t="n">
        <v>14670</v>
      </c>
      <c r="F1434" s="31" t="n">
        <v>-1030</v>
      </c>
      <c r="G1434" s="37" t="n">
        <v>-0.0702113156100886</v>
      </c>
    </row>
    <row r="1435" customFormat="false" ht="15" hidden="false" customHeight="false" outlineLevel="0" collapsed="false">
      <c r="A1435" s="20" t="s">
        <v>1764</v>
      </c>
      <c r="B1435" s="20" t="s">
        <v>200</v>
      </c>
      <c r="C1435" s="9" t="s">
        <v>297</v>
      </c>
      <c r="D1435" s="9" t="n">
        <v>1</v>
      </c>
      <c r="E1435" s="30" t="n">
        <v>14665</v>
      </c>
      <c r="F1435" s="30" t="n">
        <v>6216</v>
      </c>
      <c r="G1435" s="35" t="n">
        <v>0.423866348448687</v>
      </c>
    </row>
    <row r="1436" customFormat="false" ht="15" hidden="false" customHeight="false" outlineLevel="0" collapsed="false">
      <c r="A1436" s="25" t="s">
        <v>1765</v>
      </c>
      <c r="B1436" s="25" t="s">
        <v>194</v>
      </c>
      <c r="C1436" s="29" t="s">
        <v>203</v>
      </c>
      <c r="D1436" s="29" t="n">
        <v>10</v>
      </c>
      <c r="E1436" s="31" t="n">
        <v>14660</v>
      </c>
      <c r="F1436" s="31" t="n">
        <v>2200</v>
      </c>
      <c r="G1436" s="37" t="n">
        <v>0.150068212824011</v>
      </c>
    </row>
    <row r="1437" customFormat="false" ht="15" hidden="false" customHeight="false" outlineLevel="0" collapsed="false">
      <c r="A1437" s="20" t="s">
        <v>1766</v>
      </c>
      <c r="B1437" s="20" t="s">
        <v>194</v>
      </c>
      <c r="C1437" s="9" t="s">
        <v>203</v>
      </c>
      <c r="D1437" s="9" t="n">
        <v>50</v>
      </c>
      <c r="E1437" s="30" t="n">
        <v>14650</v>
      </c>
      <c r="F1437" s="30" t="n">
        <v>2200</v>
      </c>
      <c r="G1437" s="35" t="n">
        <v>0.150170648464164</v>
      </c>
    </row>
    <row r="1438" customFormat="false" ht="15" hidden="false" customHeight="false" outlineLevel="0" collapsed="false">
      <c r="A1438" s="25" t="s">
        <v>1767</v>
      </c>
      <c r="B1438" s="25" t="s">
        <v>194</v>
      </c>
      <c r="C1438" s="29" t="s">
        <v>203</v>
      </c>
      <c r="D1438" s="29" t="n">
        <v>1</v>
      </c>
      <c r="E1438" s="31" t="n">
        <v>14640</v>
      </c>
      <c r="F1438" s="31" t="n">
        <v>4663</v>
      </c>
      <c r="G1438" s="37" t="n">
        <v>0.318510928961749</v>
      </c>
    </row>
    <row r="1439" customFormat="false" ht="15" hidden="false" customHeight="false" outlineLevel="0" collapsed="false">
      <c r="A1439" s="20" t="s">
        <v>1768</v>
      </c>
      <c r="B1439" s="9" t="s">
        <v>253</v>
      </c>
      <c r="C1439" s="9" t="s">
        <v>254</v>
      </c>
      <c r="D1439" s="9" t="n">
        <v>4</v>
      </c>
      <c r="E1439" s="30" t="n">
        <v>14624</v>
      </c>
      <c r="F1439" s="30" t="n">
        <v>7352</v>
      </c>
      <c r="G1439" s="35" t="n">
        <v>0.5027352297593</v>
      </c>
    </row>
    <row r="1440" customFormat="false" ht="15" hidden="false" customHeight="false" outlineLevel="0" collapsed="false">
      <c r="A1440" s="25" t="s">
        <v>1769</v>
      </c>
      <c r="B1440" s="29" t="s">
        <v>216</v>
      </c>
      <c r="C1440" s="29" t="s">
        <v>428</v>
      </c>
      <c r="D1440" s="29" t="n">
        <v>1</v>
      </c>
      <c r="E1440" s="31" t="n">
        <v>14565</v>
      </c>
      <c r="F1440" s="31" t="n">
        <v>11091</v>
      </c>
      <c r="G1440" s="37" t="n">
        <v>0.761483007209063</v>
      </c>
    </row>
    <row r="1441" customFormat="false" ht="15" hidden="false" customHeight="false" outlineLevel="0" collapsed="false">
      <c r="A1441" s="20" t="s">
        <v>1770</v>
      </c>
      <c r="B1441" s="20" t="s">
        <v>220</v>
      </c>
      <c r="C1441" s="9" t="s">
        <v>790</v>
      </c>
      <c r="D1441" s="9" t="n">
        <v>2</v>
      </c>
      <c r="E1441" s="30" t="n">
        <v>14560</v>
      </c>
      <c r="F1441" s="30" t="n">
        <v>2184</v>
      </c>
      <c r="G1441" s="35" t="n">
        <v>0.15</v>
      </c>
    </row>
    <row r="1442" customFormat="false" ht="15" hidden="false" customHeight="false" outlineLevel="0" collapsed="false">
      <c r="A1442" s="25" t="s">
        <v>1771</v>
      </c>
      <c r="B1442" s="25" t="s">
        <v>194</v>
      </c>
      <c r="C1442" s="29" t="s">
        <v>203</v>
      </c>
      <c r="D1442" s="29" t="n">
        <v>15</v>
      </c>
      <c r="E1442" s="31" t="n">
        <v>14535</v>
      </c>
      <c r="F1442" s="31" t="n">
        <v>2535</v>
      </c>
      <c r="G1442" s="37" t="n">
        <v>0.174406604747162</v>
      </c>
    </row>
    <row r="1443" customFormat="false" ht="15" hidden="false" customHeight="false" outlineLevel="0" collapsed="false">
      <c r="A1443" s="20" t="s">
        <v>1772</v>
      </c>
      <c r="B1443" s="20" t="s">
        <v>194</v>
      </c>
      <c r="C1443" s="9" t="s">
        <v>223</v>
      </c>
      <c r="D1443" s="9" t="n">
        <v>2</v>
      </c>
      <c r="E1443" s="30" t="n">
        <v>14532</v>
      </c>
      <c r="F1443" s="30" t="n">
        <v>3224</v>
      </c>
      <c r="G1443" s="35" t="n">
        <v>0.221855216074869</v>
      </c>
    </row>
    <row r="1444" customFormat="false" ht="15" hidden="false" customHeight="false" outlineLevel="0" collapsed="false">
      <c r="A1444" s="25" t="s">
        <v>1773</v>
      </c>
      <c r="B1444" s="29" t="s">
        <v>253</v>
      </c>
      <c r="C1444" s="29" t="s">
        <v>254</v>
      </c>
      <c r="D1444" s="29" t="n">
        <v>4</v>
      </c>
      <c r="E1444" s="31" t="n">
        <v>14528</v>
      </c>
      <c r="F1444" s="31" t="n">
        <v>7272</v>
      </c>
      <c r="G1444" s="37" t="n">
        <v>0.500550660792952</v>
      </c>
    </row>
    <row r="1445" customFormat="false" ht="15" hidden="false" customHeight="false" outlineLevel="0" collapsed="false">
      <c r="A1445" s="20" t="s">
        <v>1774</v>
      </c>
      <c r="B1445" s="20" t="s">
        <v>194</v>
      </c>
      <c r="C1445" s="9" t="s">
        <v>203</v>
      </c>
      <c r="D1445" s="9" t="n">
        <v>1</v>
      </c>
      <c r="E1445" s="30" t="n">
        <v>14514</v>
      </c>
      <c r="F1445" s="30" t="n">
        <v>10723</v>
      </c>
      <c r="G1445" s="35" t="n">
        <v>0.738803913462863</v>
      </c>
    </row>
    <row r="1446" customFormat="false" ht="15" hidden="false" customHeight="false" outlineLevel="0" collapsed="false">
      <c r="A1446" s="25" t="s">
        <v>1775</v>
      </c>
      <c r="B1446" s="25" t="s">
        <v>194</v>
      </c>
      <c r="C1446" s="29" t="s">
        <v>485</v>
      </c>
      <c r="D1446" s="29" t="n">
        <v>2</v>
      </c>
      <c r="E1446" s="31" t="n">
        <v>14504</v>
      </c>
      <c r="F1446" s="31" t="n">
        <v>4678</v>
      </c>
      <c r="G1446" s="37" t="n">
        <v>0.322531715388858</v>
      </c>
    </row>
    <row r="1447" customFormat="false" ht="15" hidden="false" customHeight="false" outlineLevel="0" collapsed="false">
      <c r="A1447" s="20" t="s">
        <v>1776</v>
      </c>
      <c r="B1447" s="20" t="s">
        <v>200</v>
      </c>
      <c r="C1447" s="9" t="s">
        <v>297</v>
      </c>
      <c r="D1447" s="9" t="n">
        <v>1</v>
      </c>
      <c r="E1447" s="30" t="n">
        <v>14487</v>
      </c>
      <c r="F1447" s="30" t="n">
        <v>6310</v>
      </c>
      <c r="G1447" s="35" t="n">
        <v>0.435562918478636</v>
      </c>
    </row>
    <row r="1448" customFormat="false" ht="15" hidden="false" customHeight="false" outlineLevel="0" collapsed="false">
      <c r="A1448" s="25" t="s">
        <v>1777</v>
      </c>
      <c r="B1448" s="25" t="s">
        <v>194</v>
      </c>
      <c r="C1448" s="29" t="s">
        <v>231</v>
      </c>
      <c r="D1448" s="29" t="n">
        <v>3</v>
      </c>
      <c r="E1448" s="31" t="n">
        <v>14487</v>
      </c>
      <c r="F1448" s="31" t="n">
        <v>2172</v>
      </c>
      <c r="G1448" s="37" t="n">
        <v>0.149927521225927</v>
      </c>
    </row>
    <row r="1449" customFormat="false" ht="15" hidden="false" customHeight="false" outlineLevel="0" collapsed="false">
      <c r="A1449" s="20" t="s">
        <v>1778</v>
      </c>
      <c r="B1449" s="9" t="s">
        <v>253</v>
      </c>
      <c r="C1449" s="9" t="s">
        <v>254</v>
      </c>
      <c r="D1449" s="9" t="n">
        <v>10</v>
      </c>
      <c r="E1449" s="30" t="n">
        <v>14480</v>
      </c>
      <c r="F1449" s="30" t="n">
        <v>4790</v>
      </c>
      <c r="G1449" s="35" t="n">
        <v>0.330801104972376</v>
      </c>
    </row>
    <row r="1450" customFormat="false" ht="15" hidden="false" customHeight="false" outlineLevel="0" collapsed="false">
      <c r="A1450" s="25" t="s">
        <v>1779</v>
      </c>
      <c r="B1450" s="25" t="s">
        <v>200</v>
      </c>
      <c r="C1450" s="29" t="s">
        <v>355</v>
      </c>
      <c r="D1450" s="29" t="n">
        <v>1</v>
      </c>
      <c r="E1450" s="31" t="n">
        <v>14477</v>
      </c>
      <c r="F1450" s="31" t="n">
        <v>2172</v>
      </c>
      <c r="G1450" s="37" t="n">
        <v>0.150031083788078</v>
      </c>
    </row>
    <row r="1451" customFormat="false" ht="15" hidden="false" customHeight="false" outlineLevel="0" collapsed="false">
      <c r="A1451" s="20" t="s">
        <v>1780</v>
      </c>
      <c r="B1451" s="20" t="s">
        <v>194</v>
      </c>
      <c r="C1451" s="9" t="s">
        <v>203</v>
      </c>
      <c r="D1451" s="9" t="n">
        <v>6</v>
      </c>
      <c r="E1451" s="30" t="n">
        <v>14382</v>
      </c>
      <c r="F1451" s="30" t="n">
        <v>7374</v>
      </c>
      <c r="G1451" s="35" t="n">
        <v>0.512724238631623</v>
      </c>
    </row>
    <row r="1452" customFormat="false" ht="15" hidden="false" customHeight="false" outlineLevel="0" collapsed="false">
      <c r="A1452" s="25" t="s">
        <v>1781</v>
      </c>
      <c r="B1452" s="25" t="s">
        <v>194</v>
      </c>
      <c r="C1452" s="29" t="s">
        <v>203</v>
      </c>
      <c r="D1452" s="29" t="n">
        <v>4</v>
      </c>
      <c r="E1452" s="31" t="n">
        <v>14376</v>
      </c>
      <c r="F1452" s="31" t="n">
        <v>2156</v>
      </c>
      <c r="G1452" s="37" t="n">
        <v>0.149972175848637</v>
      </c>
    </row>
    <row r="1453" customFormat="false" ht="15" hidden="false" customHeight="false" outlineLevel="0" collapsed="false">
      <c r="A1453" s="20" t="s">
        <v>1782</v>
      </c>
      <c r="B1453" s="20" t="s">
        <v>194</v>
      </c>
      <c r="C1453" s="9" t="s">
        <v>768</v>
      </c>
      <c r="D1453" s="9" t="n">
        <v>1</v>
      </c>
      <c r="E1453" s="30" t="n">
        <v>14361</v>
      </c>
      <c r="F1453" s="30" t="n">
        <v>2273</v>
      </c>
      <c r="G1453" s="35" t="n">
        <v>0.158275886080357</v>
      </c>
    </row>
    <row r="1454" customFormat="false" ht="15" hidden="false" customHeight="false" outlineLevel="0" collapsed="false">
      <c r="A1454" s="25" t="s">
        <v>1783</v>
      </c>
      <c r="B1454" s="29" t="s">
        <v>253</v>
      </c>
      <c r="C1454" s="29" t="s">
        <v>254</v>
      </c>
      <c r="D1454" s="29" t="n">
        <v>4</v>
      </c>
      <c r="E1454" s="31" t="n">
        <v>14328</v>
      </c>
      <c r="F1454" s="31" t="n">
        <v>7108</v>
      </c>
      <c r="G1454" s="37" t="n">
        <v>0.496091568955891</v>
      </c>
    </row>
    <row r="1455" customFormat="false" ht="15" hidden="false" customHeight="false" outlineLevel="0" collapsed="false">
      <c r="A1455" s="20" t="s">
        <v>1784</v>
      </c>
      <c r="B1455" s="20" t="s">
        <v>200</v>
      </c>
      <c r="C1455" s="9" t="s">
        <v>1009</v>
      </c>
      <c r="D1455" s="9" t="n">
        <v>2</v>
      </c>
      <c r="E1455" s="30" t="n">
        <v>14306</v>
      </c>
      <c r="F1455" s="30" t="n">
        <v>2402</v>
      </c>
      <c r="G1455" s="35" t="n">
        <v>0.167901579756745</v>
      </c>
    </row>
    <row r="1456" customFormat="false" ht="15" hidden="false" customHeight="false" outlineLevel="0" collapsed="false">
      <c r="A1456" s="25" t="s">
        <v>1785</v>
      </c>
      <c r="B1456" s="29" t="s">
        <v>253</v>
      </c>
      <c r="C1456" s="29" t="s">
        <v>622</v>
      </c>
      <c r="D1456" s="29" t="n">
        <v>7</v>
      </c>
      <c r="E1456" s="31" t="n">
        <v>14252</v>
      </c>
      <c r="F1456" s="31" t="n">
        <v>5936</v>
      </c>
      <c r="G1456" s="37" t="n">
        <v>0.416502946954813</v>
      </c>
    </row>
    <row r="1457" customFormat="false" ht="15" hidden="false" customHeight="false" outlineLevel="0" collapsed="false">
      <c r="A1457" s="20" t="s">
        <v>1786</v>
      </c>
      <c r="B1457" s="20" t="s">
        <v>194</v>
      </c>
      <c r="C1457" s="9" t="s">
        <v>195</v>
      </c>
      <c r="D1457" s="9" t="n">
        <v>1</v>
      </c>
      <c r="E1457" s="30" t="n">
        <v>14236</v>
      </c>
      <c r="F1457" s="30" t="n">
        <v>3936</v>
      </c>
      <c r="G1457" s="35" t="n">
        <v>0.276482157909525</v>
      </c>
    </row>
    <row r="1458" customFormat="false" ht="15" hidden="false" customHeight="false" outlineLevel="0" collapsed="false">
      <c r="A1458" s="25" t="s">
        <v>1787</v>
      </c>
      <c r="B1458" s="25" t="s">
        <v>194</v>
      </c>
      <c r="C1458" s="29" t="s">
        <v>209</v>
      </c>
      <c r="D1458" s="29" t="n">
        <v>2</v>
      </c>
      <c r="E1458" s="31" t="n">
        <v>14212</v>
      </c>
      <c r="F1458" s="31" t="n">
        <v>1238</v>
      </c>
      <c r="G1458" s="37" t="n">
        <v>0.0871094849423022</v>
      </c>
    </row>
    <row r="1459" customFormat="false" ht="15" hidden="false" customHeight="false" outlineLevel="0" collapsed="false">
      <c r="A1459" s="20" t="s">
        <v>1788</v>
      </c>
      <c r="B1459" s="20" t="s">
        <v>529</v>
      </c>
      <c r="C1459" s="9" t="s">
        <v>223</v>
      </c>
      <c r="D1459" s="9" t="n">
        <v>6</v>
      </c>
      <c r="E1459" s="30" t="n">
        <v>14208</v>
      </c>
      <c r="F1459" s="30" t="n">
        <v>2131</v>
      </c>
      <c r="G1459" s="35" t="n">
        <v>0.149985923423423</v>
      </c>
    </row>
    <row r="1460" customFormat="false" ht="15" hidden="false" customHeight="false" outlineLevel="0" collapsed="false">
      <c r="A1460" s="25" t="s">
        <v>1789</v>
      </c>
      <c r="B1460" s="29" t="s">
        <v>1790</v>
      </c>
      <c r="C1460" s="29" t="s">
        <v>229</v>
      </c>
      <c r="D1460" s="29" t="n">
        <v>10</v>
      </c>
      <c r="E1460" s="31" t="n">
        <v>14200</v>
      </c>
      <c r="F1460" s="31" t="n">
        <v>2130</v>
      </c>
      <c r="G1460" s="37" t="n">
        <v>0.15</v>
      </c>
    </row>
    <row r="1461" customFormat="false" ht="15" hidden="false" customHeight="false" outlineLevel="0" collapsed="false">
      <c r="A1461" s="20" t="s">
        <v>1791</v>
      </c>
      <c r="B1461" s="20" t="s">
        <v>1792</v>
      </c>
      <c r="C1461" s="9" t="s">
        <v>274</v>
      </c>
      <c r="D1461" s="9" t="n">
        <v>100</v>
      </c>
      <c r="E1461" s="30" t="n">
        <v>14200</v>
      </c>
      <c r="F1461" s="30" t="n">
        <v>8161</v>
      </c>
      <c r="G1461" s="35" t="n">
        <v>0.574718309859155</v>
      </c>
    </row>
    <row r="1462" customFormat="false" ht="15" hidden="false" customHeight="false" outlineLevel="0" collapsed="false">
      <c r="A1462" s="25" t="s">
        <v>1793</v>
      </c>
      <c r="B1462" s="29" t="s">
        <v>253</v>
      </c>
      <c r="C1462" s="29" t="s">
        <v>428</v>
      </c>
      <c r="D1462" s="29" t="n">
        <v>18</v>
      </c>
      <c r="E1462" s="31" t="n">
        <v>14184</v>
      </c>
      <c r="F1462" s="31" t="n">
        <v>7092</v>
      </c>
      <c r="G1462" s="37" t="n">
        <v>0.5</v>
      </c>
    </row>
    <row r="1463" customFormat="false" ht="15" hidden="false" customHeight="false" outlineLevel="0" collapsed="false">
      <c r="A1463" s="20" t="s">
        <v>1794</v>
      </c>
      <c r="B1463" s="9" t="s">
        <v>253</v>
      </c>
      <c r="C1463" s="9" t="s">
        <v>428</v>
      </c>
      <c r="D1463" s="9" t="n">
        <v>20</v>
      </c>
      <c r="E1463" s="30" t="n">
        <v>14180</v>
      </c>
      <c r="F1463" s="30" t="n">
        <v>6520</v>
      </c>
      <c r="G1463" s="35" t="n">
        <v>0.459802538787024</v>
      </c>
    </row>
    <row r="1464" customFormat="false" ht="15" hidden="false" customHeight="false" outlineLevel="0" collapsed="false">
      <c r="A1464" s="25" t="s">
        <v>1795</v>
      </c>
      <c r="B1464" s="25" t="s">
        <v>194</v>
      </c>
      <c r="C1464" s="29" t="s">
        <v>203</v>
      </c>
      <c r="D1464" s="29" t="n">
        <v>4</v>
      </c>
      <c r="E1464" s="31" t="n">
        <v>14180</v>
      </c>
      <c r="F1464" s="31" t="n">
        <v>3344</v>
      </c>
      <c r="G1464" s="37" t="n">
        <v>0.235825105782793</v>
      </c>
    </row>
    <row r="1465" customFormat="false" ht="15" hidden="false" customHeight="false" outlineLevel="0" collapsed="false">
      <c r="A1465" s="20" t="s">
        <v>1796</v>
      </c>
      <c r="B1465" s="9" t="s">
        <v>216</v>
      </c>
      <c r="C1465" s="9" t="s">
        <v>428</v>
      </c>
      <c r="D1465" s="9" t="n">
        <v>9</v>
      </c>
      <c r="E1465" s="30" t="n">
        <v>14175</v>
      </c>
      <c r="F1465" s="30" t="n">
        <v>6183</v>
      </c>
      <c r="G1465" s="35" t="n">
        <v>0.436190476190476</v>
      </c>
    </row>
    <row r="1466" customFormat="false" ht="15" hidden="false" customHeight="false" outlineLevel="0" collapsed="false">
      <c r="A1466" s="25" t="s">
        <v>1797</v>
      </c>
      <c r="B1466" s="29" t="s">
        <v>253</v>
      </c>
      <c r="C1466" s="29" t="s">
        <v>428</v>
      </c>
      <c r="D1466" s="29" t="n">
        <v>20</v>
      </c>
      <c r="E1466" s="31" t="n">
        <v>14140</v>
      </c>
      <c r="F1466" s="31" t="n">
        <v>4900</v>
      </c>
      <c r="G1466" s="37" t="n">
        <v>0.346534653465347</v>
      </c>
    </row>
    <row r="1467" customFormat="false" ht="15" hidden="false" customHeight="false" outlineLevel="0" collapsed="false">
      <c r="A1467" s="20" t="s">
        <v>1798</v>
      </c>
      <c r="B1467" s="20" t="s">
        <v>194</v>
      </c>
      <c r="C1467" s="9" t="s">
        <v>768</v>
      </c>
      <c r="D1467" s="9" t="n">
        <v>1</v>
      </c>
      <c r="E1467" s="30" t="n">
        <v>14104</v>
      </c>
      <c r="F1467" s="30" t="n">
        <v>10339</v>
      </c>
      <c r="G1467" s="35" t="n">
        <v>0.73305445263755</v>
      </c>
    </row>
    <row r="1468" customFormat="false" ht="15" hidden="false" customHeight="false" outlineLevel="0" collapsed="false">
      <c r="A1468" s="25" t="s">
        <v>1799</v>
      </c>
      <c r="B1468" s="25" t="s">
        <v>194</v>
      </c>
      <c r="C1468" s="29" t="s">
        <v>203</v>
      </c>
      <c r="D1468" s="29" t="n">
        <v>5</v>
      </c>
      <c r="E1468" s="31" t="n">
        <v>14100</v>
      </c>
      <c r="F1468" s="31" t="n">
        <v>2115</v>
      </c>
      <c r="G1468" s="37" t="n">
        <v>0.15</v>
      </c>
    </row>
    <row r="1469" customFormat="false" ht="15" hidden="false" customHeight="false" outlineLevel="0" collapsed="false">
      <c r="A1469" s="20" t="s">
        <v>1800</v>
      </c>
      <c r="B1469" s="9" t="s">
        <v>1262</v>
      </c>
      <c r="C1469" s="9" t="s">
        <v>428</v>
      </c>
      <c r="D1469" s="9" t="n">
        <v>8</v>
      </c>
      <c r="E1469" s="30" t="n">
        <v>14080</v>
      </c>
      <c r="F1469" s="30" t="n">
        <v>7416</v>
      </c>
      <c r="G1469" s="35" t="n">
        <v>0.526704545454546</v>
      </c>
    </row>
    <row r="1470" customFormat="false" ht="15" hidden="false" customHeight="false" outlineLevel="0" collapsed="false">
      <c r="A1470" s="25" t="s">
        <v>1801</v>
      </c>
      <c r="B1470" s="25" t="s">
        <v>194</v>
      </c>
      <c r="C1470" s="29" t="s">
        <v>223</v>
      </c>
      <c r="D1470" s="29" t="n">
        <v>6</v>
      </c>
      <c r="E1470" s="31" t="n">
        <v>14046</v>
      </c>
      <c r="F1470" s="31" t="n">
        <v>3090</v>
      </c>
      <c r="G1470" s="37" t="n">
        <v>0.21999145664246</v>
      </c>
    </row>
    <row r="1471" customFormat="false" ht="15" hidden="false" customHeight="false" outlineLevel="0" collapsed="false">
      <c r="A1471" s="20" t="s">
        <v>1802</v>
      </c>
      <c r="B1471" s="20" t="s">
        <v>200</v>
      </c>
      <c r="C1471" s="9" t="s">
        <v>223</v>
      </c>
      <c r="D1471" s="9" t="n">
        <v>1</v>
      </c>
      <c r="E1471" s="30" t="n">
        <v>14030</v>
      </c>
      <c r="F1471" s="30" t="n">
        <v>5392</v>
      </c>
      <c r="G1471" s="35" t="n">
        <v>0.38431931575196</v>
      </c>
    </row>
    <row r="1472" customFormat="false" ht="15" hidden="false" customHeight="false" outlineLevel="0" collapsed="false">
      <c r="A1472" s="25" t="s">
        <v>1803</v>
      </c>
      <c r="B1472" s="29" t="s">
        <v>253</v>
      </c>
      <c r="C1472" s="29" t="s">
        <v>428</v>
      </c>
      <c r="D1472" s="29" t="n">
        <v>7</v>
      </c>
      <c r="E1472" s="31" t="n">
        <v>14007</v>
      </c>
      <c r="F1472" s="31" t="n">
        <v>6895</v>
      </c>
      <c r="G1472" s="37" t="n">
        <v>0.492253873063468</v>
      </c>
    </row>
    <row r="1473" customFormat="false" ht="15" hidden="false" customHeight="false" outlineLevel="0" collapsed="false">
      <c r="A1473" s="20" t="s">
        <v>1804</v>
      </c>
      <c r="B1473" s="9" t="s">
        <v>216</v>
      </c>
      <c r="C1473" s="9" t="s">
        <v>428</v>
      </c>
      <c r="D1473" s="9" t="n">
        <v>8</v>
      </c>
      <c r="E1473" s="30" t="n">
        <v>14000</v>
      </c>
      <c r="F1473" s="30" t="n">
        <v>6304</v>
      </c>
      <c r="G1473" s="35" t="n">
        <v>0.450285714285714</v>
      </c>
    </row>
    <row r="1474" customFormat="false" ht="15" hidden="false" customHeight="false" outlineLevel="0" collapsed="false">
      <c r="A1474" s="25" t="s">
        <v>1805</v>
      </c>
      <c r="B1474" s="25" t="s">
        <v>200</v>
      </c>
      <c r="C1474" s="29" t="s">
        <v>380</v>
      </c>
      <c r="D1474" s="29" t="n">
        <v>2</v>
      </c>
      <c r="E1474" s="31" t="n">
        <v>13968</v>
      </c>
      <c r="F1474" s="31" t="n">
        <v>9370</v>
      </c>
      <c r="G1474" s="37" t="n">
        <v>0.67081901489118</v>
      </c>
    </row>
    <row r="1475" customFormat="false" ht="15" hidden="false" customHeight="false" outlineLevel="0" collapsed="false">
      <c r="A1475" s="20" t="s">
        <v>1806</v>
      </c>
      <c r="B1475" s="20" t="s">
        <v>855</v>
      </c>
      <c r="C1475" s="9" t="s">
        <v>334</v>
      </c>
      <c r="D1475" s="9" t="n">
        <v>4</v>
      </c>
      <c r="E1475" s="30" t="n">
        <v>13956</v>
      </c>
      <c r="F1475" s="30" t="n">
        <v>2093</v>
      </c>
      <c r="G1475" s="35" t="n">
        <v>0.149971338492405</v>
      </c>
    </row>
    <row r="1476" customFormat="false" ht="15" hidden="false" customHeight="false" outlineLevel="0" collapsed="false">
      <c r="A1476" s="25" t="s">
        <v>1807</v>
      </c>
      <c r="B1476" s="25" t="s">
        <v>200</v>
      </c>
      <c r="C1476" s="29" t="s">
        <v>223</v>
      </c>
      <c r="D1476" s="29" t="n">
        <v>1</v>
      </c>
      <c r="E1476" s="31" t="n">
        <v>13945</v>
      </c>
      <c r="F1476" s="31" t="n">
        <v>5604</v>
      </c>
      <c r="G1476" s="37" t="n">
        <v>0.401864467551094</v>
      </c>
    </row>
    <row r="1477" customFormat="false" ht="15" hidden="false" customHeight="false" outlineLevel="0" collapsed="false">
      <c r="A1477" s="20" t="s">
        <v>1808</v>
      </c>
      <c r="B1477" s="20" t="s">
        <v>194</v>
      </c>
      <c r="C1477" s="9" t="s">
        <v>203</v>
      </c>
      <c r="D1477" s="9" t="n">
        <v>9</v>
      </c>
      <c r="E1477" s="30" t="n">
        <v>13860</v>
      </c>
      <c r="F1477" s="30" t="n">
        <v>6336</v>
      </c>
      <c r="G1477" s="35" t="n">
        <v>0.457142857142857</v>
      </c>
    </row>
    <row r="1478" customFormat="false" ht="15" hidden="false" customHeight="false" outlineLevel="0" collapsed="false">
      <c r="A1478" s="25" t="s">
        <v>1809</v>
      </c>
      <c r="B1478" s="29" t="s">
        <v>253</v>
      </c>
      <c r="C1478" s="29" t="s">
        <v>229</v>
      </c>
      <c r="D1478" s="29" t="n">
        <v>18</v>
      </c>
      <c r="E1478" s="31" t="n">
        <v>13860</v>
      </c>
      <c r="F1478" s="31" t="n">
        <v>2079</v>
      </c>
      <c r="G1478" s="37" t="n">
        <v>0.15</v>
      </c>
    </row>
    <row r="1479" customFormat="false" ht="15" hidden="false" customHeight="false" outlineLevel="0" collapsed="false">
      <c r="A1479" s="20" t="s">
        <v>1810</v>
      </c>
      <c r="B1479" s="20" t="s">
        <v>194</v>
      </c>
      <c r="C1479" s="9" t="s">
        <v>195</v>
      </c>
      <c r="D1479" s="9" t="n">
        <v>1</v>
      </c>
      <c r="E1479" s="30" t="n">
        <v>13848</v>
      </c>
      <c r="F1479" s="30" t="n">
        <v>958</v>
      </c>
      <c r="G1479" s="35" t="n">
        <v>0.0691796649335644</v>
      </c>
    </row>
    <row r="1480" customFormat="false" ht="15" hidden="false" customHeight="false" outlineLevel="0" collapsed="false">
      <c r="A1480" s="25" t="s">
        <v>1811</v>
      </c>
      <c r="B1480" s="29" t="s">
        <v>253</v>
      </c>
      <c r="C1480" s="29" t="s">
        <v>428</v>
      </c>
      <c r="D1480" s="29" t="n">
        <v>7</v>
      </c>
      <c r="E1480" s="31" t="n">
        <v>13811</v>
      </c>
      <c r="F1480" s="31" t="n">
        <v>4977</v>
      </c>
      <c r="G1480" s="37" t="n">
        <v>0.360364926507856</v>
      </c>
    </row>
    <row r="1481" customFormat="false" ht="15" hidden="false" customHeight="false" outlineLevel="0" collapsed="false">
      <c r="A1481" s="20" t="s">
        <v>1812</v>
      </c>
      <c r="B1481" s="20" t="s">
        <v>194</v>
      </c>
      <c r="C1481" s="9" t="s">
        <v>258</v>
      </c>
      <c r="D1481" s="9" t="n">
        <v>3</v>
      </c>
      <c r="E1481" s="30" t="n">
        <v>13800</v>
      </c>
      <c r="F1481" s="30" t="n">
        <v>2070</v>
      </c>
      <c r="G1481" s="35" t="n">
        <v>0.15</v>
      </c>
    </row>
    <row r="1482" customFormat="false" ht="15" hidden="false" customHeight="false" outlineLevel="0" collapsed="false">
      <c r="A1482" s="25" t="s">
        <v>1813</v>
      </c>
      <c r="B1482" s="25" t="s">
        <v>988</v>
      </c>
      <c r="C1482" s="29" t="s">
        <v>368</v>
      </c>
      <c r="D1482" s="29" t="n">
        <v>10</v>
      </c>
      <c r="E1482" s="31" t="n">
        <v>13780</v>
      </c>
      <c r="F1482" s="31" t="n">
        <v>12970</v>
      </c>
      <c r="G1482" s="37" t="n">
        <v>0.94121915820029</v>
      </c>
    </row>
    <row r="1483" customFormat="false" ht="15" hidden="false" customHeight="false" outlineLevel="0" collapsed="false">
      <c r="A1483" s="20" t="s">
        <v>1814</v>
      </c>
      <c r="B1483" s="9" t="s">
        <v>253</v>
      </c>
      <c r="C1483" s="9" t="s">
        <v>428</v>
      </c>
      <c r="D1483" s="9" t="n">
        <v>10</v>
      </c>
      <c r="E1483" s="30" t="n">
        <v>13780</v>
      </c>
      <c r="F1483" s="30" t="n">
        <v>6600</v>
      </c>
      <c r="G1483" s="35" t="n">
        <v>0.478955007256894</v>
      </c>
    </row>
    <row r="1484" customFormat="false" ht="15" hidden="false" customHeight="false" outlineLevel="0" collapsed="false">
      <c r="A1484" s="25" t="s">
        <v>1815</v>
      </c>
      <c r="B1484" s="25" t="s">
        <v>200</v>
      </c>
      <c r="C1484" s="29" t="s">
        <v>223</v>
      </c>
      <c r="D1484" s="29" t="n">
        <v>5</v>
      </c>
      <c r="E1484" s="31" t="n">
        <v>13740</v>
      </c>
      <c r="F1484" s="31" t="n">
        <v>-45</v>
      </c>
      <c r="G1484" s="37" t="n">
        <v>-0.0032751091703056</v>
      </c>
    </row>
    <row r="1485" customFormat="false" ht="15" hidden="false" customHeight="false" outlineLevel="0" collapsed="false">
      <c r="A1485" s="20" t="s">
        <v>1816</v>
      </c>
      <c r="B1485" s="9" t="s">
        <v>253</v>
      </c>
      <c r="C1485" s="9" t="s">
        <v>254</v>
      </c>
      <c r="D1485" s="9" t="n">
        <v>4</v>
      </c>
      <c r="E1485" s="30" t="n">
        <v>13712</v>
      </c>
      <c r="F1485" s="30" t="n">
        <v>11392</v>
      </c>
      <c r="G1485" s="35" t="n">
        <v>0.830805134189032</v>
      </c>
    </row>
    <row r="1486" customFormat="false" ht="15" hidden="false" customHeight="false" outlineLevel="0" collapsed="false">
      <c r="A1486" s="25" t="s">
        <v>1817</v>
      </c>
      <c r="B1486" s="29" t="s">
        <v>253</v>
      </c>
      <c r="C1486" s="29" t="s">
        <v>254</v>
      </c>
      <c r="D1486" s="29" t="n">
        <v>4</v>
      </c>
      <c r="E1486" s="31" t="n">
        <v>13712</v>
      </c>
      <c r="F1486" s="31" t="n">
        <v>11392</v>
      </c>
      <c r="G1486" s="37" t="n">
        <v>0.830805134189032</v>
      </c>
    </row>
    <row r="1487" customFormat="false" ht="15" hidden="false" customHeight="false" outlineLevel="0" collapsed="false">
      <c r="A1487" s="20" t="s">
        <v>1818</v>
      </c>
      <c r="B1487" s="9" t="s">
        <v>216</v>
      </c>
      <c r="C1487" s="9" t="s">
        <v>334</v>
      </c>
      <c r="D1487" s="9" t="n">
        <v>14</v>
      </c>
      <c r="E1487" s="30" t="n">
        <v>13706</v>
      </c>
      <c r="F1487" s="30" t="n">
        <v>2056</v>
      </c>
      <c r="G1487" s="35" t="n">
        <v>0.150007296074712</v>
      </c>
    </row>
    <row r="1488" customFormat="false" ht="15" hidden="false" customHeight="false" outlineLevel="0" collapsed="false">
      <c r="A1488" s="25" t="s">
        <v>1819</v>
      </c>
      <c r="B1488" s="29" t="s">
        <v>253</v>
      </c>
      <c r="C1488" s="29" t="s">
        <v>428</v>
      </c>
      <c r="D1488" s="29" t="n">
        <v>7</v>
      </c>
      <c r="E1488" s="31" t="n">
        <v>13685</v>
      </c>
      <c r="F1488" s="31" t="n">
        <v>6286</v>
      </c>
      <c r="G1488" s="37" t="n">
        <v>0.459335038363171</v>
      </c>
    </row>
    <row r="1489" customFormat="false" ht="15" hidden="false" customHeight="false" outlineLevel="0" collapsed="false">
      <c r="A1489" s="20" t="s">
        <v>1820</v>
      </c>
      <c r="B1489" s="20" t="s">
        <v>200</v>
      </c>
      <c r="C1489" s="9" t="s">
        <v>223</v>
      </c>
      <c r="D1489" s="9" t="n">
        <v>28</v>
      </c>
      <c r="E1489" s="30" t="n">
        <v>13636</v>
      </c>
      <c r="F1489" s="30" t="n">
        <v>2045</v>
      </c>
      <c r="G1489" s="35" t="n">
        <v>0.149970665884424</v>
      </c>
    </row>
    <row r="1490" customFormat="false" ht="15" hidden="false" customHeight="false" outlineLevel="0" collapsed="false">
      <c r="A1490" s="25" t="s">
        <v>1821</v>
      </c>
      <c r="B1490" s="25" t="s">
        <v>240</v>
      </c>
      <c r="C1490" s="29" t="s">
        <v>768</v>
      </c>
      <c r="D1490" s="29" t="n">
        <v>11</v>
      </c>
      <c r="E1490" s="31" t="n">
        <v>13629</v>
      </c>
      <c r="F1490" s="31" t="n">
        <v>9229</v>
      </c>
      <c r="G1490" s="37" t="n">
        <v>0.677158999192898</v>
      </c>
    </row>
    <row r="1491" customFormat="false" ht="15" hidden="false" customHeight="false" outlineLevel="0" collapsed="false">
      <c r="A1491" s="20" t="s">
        <v>1822</v>
      </c>
      <c r="B1491" s="9" t="s">
        <v>253</v>
      </c>
      <c r="C1491" s="9" t="s">
        <v>254</v>
      </c>
      <c r="D1491" s="9" t="n">
        <v>38</v>
      </c>
      <c r="E1491" s="30" t="n">
        <v>13604</v>
      </c>
      <c r="F1491" s="30" t="n">
        <v>8588</v>
      </c>
      <c r="G1491" s="35" t="n">
        <v>0.631284916201117</v>
      </c>
    </row>
    <row r="1492" customFormat="false" ht="15" hidden="false" customHeight="false" outlineLevel="0" collapsed="false">
      <c r="A1492" s="25" t="s">
        <v>1823</v>
      </c>
      <c r="B1492" s="29" t="s">
        <v>253</v>
      </c>
      <c r="C1492" s="29" t="s">
        <v>254</v>
      </c>
      <c r="D1492" s="29" t="n">
        <v>38</v>
      </c>
      <c r="E1492" s="31" t="n">
        <v>13604</v>
      </c>
      <c r="F1492" s="31" t="n">
        <v>8588</v>
      </c>
      <c r="G1492" s="37" t="n">
        <v>0.631284916201117</v>
      </c>
    </row>
    <row r="1493" customFormat="false" ht="15" hidden="false" customHeight="false" outlineLevel="0" collapsed="false">
      <c r="A1493" s="20" t="s">
        <v>1824</v>
      </c>
      <c r="B1493" s="9" t="s">
        <v>1825</v>
      </c>
      <c r="C1493" s="9" t="s">
        <v>290</v>
      </c>
      <c r="D1493" s="9" t="n">
        <v>3</v>
      </c>
      <c r="E1493" s="30" t="n">
        <v>13587</v>
      </c>
      <c r="F1493" s="30" t="n">
        <v>2038</v>
      </c>
      <c r="G1493" s="35" t="n">
        <v>0.149996320011776</v>
      </c>
    </row>
    <row r="1494" customFormat="false" ht="15" hidden="false" customHeight="false" outlineLevel="0" collapsed="false">
      <c r="A1494" s="25" t="s">
        <v>1826</v>
      </c>
      <c r="B1494" s="29" t="s">
        <v>253</v>
      </c>
      <c r="C1494" s="29" t="s">
        <v>428</v>
      </c>
      <c r="D1494" s="29" t="n">
        <v>1</v>
      </c>
      <c r="E1494" s="31" t="n">
        <v>13585</v>
      </c>
      <c r="F1494" s="31" t="n">
        <v>8740</v>
      </c>
      <c r="G1494" s="37" t="n">
        <v>0.643356643356643</v>
      </c>
    </row>
    <row r="1495" customFormat="false" ht="15" hidden="false" customHeight="false" outlineLevel="0" collapsed="false">
      <c r="A1495" s="20" t="s">
        <v>1827</v>
      </c>
      <c r="B1495" s="9" t="s">
        <v>253</v>
      </c>
      <c r="C1495" s="9" t="s">
        <v>254</v>
      </c>
      <c r="D1495" s="9" t="n">
        <v>38</v>
      </c>
      <c r="E1495" s="30" t="n">
        <v>13566</v>
      </c>
      <c r="F1495" s="30" t="n">
        <v>4902</v>
      </c>
      <c r="G1495" s="35" t="n">
        <v>0.361344537815126</v>
      </c>
    </row>
    <row r="1496" customFormat="false" ht="15" hidden="false" customHeight="false" outlineLevel="0" collapsed="false">
      <c r="A1496" s="25" t="s">
        <v>1828</v>
      </c>
      <c r="B1496" s="29" t="s">
        <v>253</v>
      </c>
      <c r="C1496" s="29" t="s">
        <v>254</v>
      </c>
      <c r="D1496" s="29" t="n">
        <v>4</v>
      </c>
      <c r="E1496" s="31" t="n">
        <v>13536</v>
      </c>
      <c r="F1496" s="31" t="n">
        <v>4924</v>
      </c>
      <c r="G1496" s="37" t="n">
        <v>0.363770685579196</v>
      </c>
    </row>
    <row r="1497" customFormat="false" ht="15" hidden="false" customHeight="false" outlineLevel="0" collapsed="false">
      <c r="A1497" s="20" t="s">
        <v>1829</v>
      </c>
      <c r="B1497" s="20" t="s">
        <v>194</v>
      </c>
      <c r="C1497" s="9" t="s">
        <v>485</v>
      </c>
      <c r="D1497" s="9" t="n">
        <v>1</v>
      </c>
      <c r="E1497" s="30" t="n">
        <v>13525</v>
      </c>
      <c r="F1497" s="30" t="n">
        <v>6652</v>
      </c>
      <c r="G1497" s="35" t="n">
        <v>0.491829944547135</v>
      </c>
    </row>
    <row r="1498" customFormat="false" ht="15" hidden="false" customHeight="false" outlineLevel="0" collapsed="false">
      <c r="A1498" s="25" t="s">
        <v>1830</v>
      </c>
      <c r="B1498" s="25" t="s">
        <v>194</v>
      </c>
      <c r="C1498" s="29" t="s">
        <v>368</v>
      </c>
      <c r="D1498" s="29" t="n">
        <v>4</v>
      </c>
      <c r="E1498" s="31" t="n">
        <v>13512</v>
      </c>
      <c r="F1498" s="31" t="n">
        <v>4936</v>
      </c>
      <c r="G1498" s="37" t="n">
        <v>0.365304914150385</v>
      </c>
    </row>
    <row r="1499" customFormat="false" ht="15" hidden="false" customHeight="false" outlineLevel="0" collapsed="false">
      <c r="A1499" s="20" t="s">
        <v>1831</v>
      </c>
      <c r="B1499" s="20" t="s">
        <v>194</v>
      </c>
      <c r="C1499" s="9" t="s">
        <v>297</v>
      </c>
      <c r="D1499" s="9" t="n">
        <v>2</v>
      </c>
      <c r="E1499" s="30" t="n">
        <v>13506</v>
      </c>
      <c r="F1499" s="30" t="n">
        <v>6944</v>
      </c>
      <c r="G1499" s="35" t="n">
        <v>0.514141862875759</v>
      </c>
    </row>
    <row r="1500" customFormat="false" ht="15" hidden="false" customHeight="false" outlineLevel="0" collapsed="false">
      <c r="A1500" s="25" t="s">
        <v>1832</v>
      </c>
      <c r="B1500" s="29" t="s">
        <v>253</v>
      </c>
      <c r="C1500" s="29" t="s">
        <v>229</v>
      </c>
      <c r="D1500" s="29" t="n">
        <v>1</v>
      </c>
      <c r="E1500" s="31" t="n">
        <v>13478</v>
      </c>
      <c r="F1500" s="31" t="n">
        <v>2022</v>
      </c>
      <c r="G1500" s="37" t="n">
        <v>0.150022258495326</v>
      </c>
    </row>
    <row r="1501" customFormat="false" ht="15" hidden="false" customHeight="false" outlineLevel="0" collapsed="false">
      <c r="A1501" s="20" t="s">
        <v>1833</v>
      </c>
      <c r="B1501" s="20" t="s">
        <v>1834</v>
      </c>
      <c r="C1501" s="9" t="s">
        <v>880</v>
      </c>
      <c r="D1501" s="9" t="n">
        <v>1</v>
      </c>
      <c r="E1501" s="30" t="n">
        <v>13440</v>
      </c>
      <c r="F1501" s="30" t="n">
        <v>1440</v>
      </c>
      <c r="G1501" s="35" t="n">
        <v>0.107142857142857</v>
      </c>
    </row>
    <row r="1502" customFormat="false" ht="15" hidden="false" customHeight="false" outlineLevel="0" collapsed="false">
      <c r="A1502" s="25" t="s">
        <v>1835</v>
      </c>
      <c r="B1502" s="25" t="s">
        <v>194</v>
      </c>
      <c r="C1502" s="29" t="s">
        <v>206</v>
      </c>
      <c r="D1502" s="29" t="n">
        <v>12</v>
      </c>
      <c r="E1502" s="31" t="n">
        <v>13428</v>
      </c>
      <c r="F1502" s="31" t="n">
        <v>1656</v>
      </c>
      <c r="G1502" s="37" t="n">
        <v>0.123324396782842</v>
      </c>
    </row>
    <row r="1503" customFormat="false" ht="15" hidden="false" customHeight="false" outlineLevel="0" collapsed="false">
      <c r="A1503" s="20" t="s">
        <v>1836</v>
      </c>
      <c r="B1503" s="20" t="s">
        <v>200</v>
      </c>
      <c r="C1503" s="9" t="s">
        <v>768</v>
      </c>
      <c r="D1503" s="9" t="n">
        <v>1</v>
      </c>
      <c r="E1503" s="30" t="n">
        <v>13421</v>
      </c>
      <c r="F1503" s="30" t="n">
        <v>2013</v>
      </c>
      <c r="G1503" s="35" t="n">
        <v>0.149988823485582</v>
      </c>
    </row>
    <row r="1504" customFormat="false" ht="15" hidden="false" customHeight="false" outlineLevel="0" collapsed="false">
      <c r="A1504" s="25" t="s">
        <v>1837</v>
      </c>
      <c r="B1504" s="25" t="s">
        <v>1834</v>
      </c>
      <c r="C1504" s="29" t="s">
        <v>880</v>
      </c>
      <c r="D1504" s="29" t="n">
        <v>1</v>
      </c>
      <c r="E1504" s="31" t="n">
        <v>13365</v>
      </c>
      <c r="F1504" s="31" t="n">
        <v>1615</v>
      </c>
      <c r="G1504" s="37" t="n">
        <v>0.120838009726899</v>
      </c>
    </row>
    <row r="1505" customFormat="false" ht="15" hidden="false" customHeight="false" outlineLevel="0" collapsed="false">
      <c r="A1505" s="20" t="s">
        <v>1838</v>
      </c>
      <c r="B1505" s="9" t="s">
        <v>1839</v>
      </c>
      <c r="C1505" s="9" t="s">
        <v>290</v>
      </c>
      <c r="D1505" s="9" t="n">
        <v>3</v>
      </c>
      <c r="E1505" s="30" t="n">
        <v>13350</v>
      </c>
      <c r="F1505" s="30" t="n">
        <v>3492</v>
      </c>
      <c r="G1505" s="35" t="n">
        <v>0.261573033707865</v>
      </c>
    </row>
    <row r="1506" customFormat="false" ht="15" hidden="false" customHeight="false" outlineLevel="0" collapsed="false">
      <c r="A1506" s="25" t="s">
        <v>1840</v>
      </c>
      <c r="B1506" s="25" t="s">
        <v>194</v>
      </c>
      <c r="C1506" s="29" t="s">
        <v>223</v>
      </c>
      <c r="D1506" s="29" t="n">
        <v>3</v>
      </c>
      <c r="E1506" s="31" t="n">
        <v>13341</v>
      </c>
      <c r="F1506" s="31" t="n">
        <v>2787</v>
      </c>
      <c r="G1506" s="37" t="n">
        <v>0.208904879694176</v>
      </c>
    </row>
    <row r="1507" customFormat="false" ht="15" hidden="false" customHeight="false" outlineLevel="0" collapsed="false">
      <c r="A1507" s="20" t="s">
        <v>1841</v>
      </c>
      <c r="B1507" s="9" t="s">
        <v>253</v>
      </c>
      <c r="C1507" s="9" t="s">
        <v>254</v>
      </c>
      <c r="D1507" s="9" t="n">
        <v>4</v>
      </c>
      <c r="E1507" s="30" t="n">
        <v>13300</v>
      </c>
      <c r="F1507" s="30" t="n">
        <v>11024</v>
      </c>
      <c r="G1507" s="35" t="n">
        <v>0.828872180451128</v>
      </c>
    </row>
    <row r="1508" customFormat="false" ht="15" hidden="false" customHeight="false" outlineLevel="0" collapsed="false">
      <c r="A1508" s="25" t="s">
        <v>1842</v>
      </c>
      <c r="B1508" s="29" t="s">
        <v>253</v>
      </c>
      <c r="C1508" s="29" t="s">
        <v>254</v>
      </c>
      <c r="D1508" s="29" t="n">
        <v>4</v>
      </c>
      <c r="E1508" s="31" t="n">
        <v>13300</v>
      </c>
      <c r="F1508" s="31" t="n">
        <v>11024</v>
      </c>
      <c r="G1508" s="37" t="n">
        <v>0.828872180451128</v>
      </c>
    </row>
    <row r="1509" customFormat="false" ht="15" hidden="false" customHeight="false" outlineLevel="0" collapsed="false">
      <c r="A1509" s="20" t="s">
        <v>1843</v>
      </c>
      <c r="B1509" s="9" t="s">
        <v>216</v>
      </c>
      <c r="C1509" s="9" t="s">
        <v>428</v>
      </c>
      <c r="D1509" s="9" t="n">
        <v>10</v>
      </c>
      <c r="E1509" s="30" t="n">
        <v>13290</v>
      </c>
      <c r="F1509" s="30" t="n">
        <v>2910</v>
      </c>
      <c r="G1509" s="35" t="n">
        <v>0.218961625282167</v>
      </c>
    </row>
    <row r="1510" customFormat="false" ht="15" hidden="false" customHeight="false" outlineLevel="0" collapsed="false">
      <c r="A1510" s="25" t="s">
        <v>1844</v>
      </c>
      <c r="B1510" s="25" t="s">
        <v>194</v>
      </c>
      <c r="C1510" s="29" t="s">
        <v>203</v>
      </c>
      <c r="D1510" s="29" t="n">
        <v>22</v>
      </c>
      <c r="E1510" s="31" t="n">
        <v>13284</v>
      </c>
      <c r="F1510" s="31" t="n">
        <v>9126</v>
      </c>
      <c r="G1510" s="37" t="n">
        <v>0.686991869918699</v>
      </c>
    </row>
    <row r="1511" customFormat="false" ht="15" hidden="false" customHeight="false" outlineLevel="0" collapsed="false">
      <c r="A1511" s="20" t="s">
        <v>1845</v>
      </c>
      <c r="B1511" s="20" t="s">
        <v>194</v>
      </c>
      <c r="C1511" s="9" t="s">
        <v>430</v>
      </c>
      <c r="D1511" s="9" t="n">
        <v>2</v>
      </c>
      <c r="E1511" s="30" t="n">
        <v>13280</v>
      </c>
      <c r="F1511" s="30" t="n">
        <v>2082</v>
      </c>
      <c r="G1511" s="35" t="n">
        <v>0.156777108433735</v>
      </c>
    </row>
    <row r="1512" customFormat="false" ht="15" hidden="false" customHeight="false" outlineLevel="0" collapsed="false">
      <c r="A1512" s="25" t="s">
        <v>1846</v>
      </c>
      <c r="B1512" s="25" t="s">
        <v>194</v>
      </c>
      <c r="C1512" s="29" t="s">
        <v>223</v>
      </c>
      <c r="D1512" s="29" t="n">
        <v>3</v>
      </c>
      <c r="E1512" s="31" t="n">
        <v>13245</v>
      </c>
      <c r="F1512" s="31" t="n">
        <v>1986</v>
      </c>
      <c r="G1512" s="37" t="n">
        <v>0.149943374858437</v>
      </c>
    </row>
    <row r="1513" customFormat="false" ht="15" hidden="false" customHeight="false" outlineLevel="0" collapsed="false">
      <c r="A1513" s="20" t="s">
        <v>1847</v>
      </c>
      <c r="B1513" s="9" t="s">
        <v>253</v>
      </c>
      <c r="C1513" s="9" t="s">
        <v>254</v>
      </c>
      <c r="D1513" s="9" t="n">
        <v>4</v>
      </c>
      <c r="E1513" s="30" t="n">
        <v>13232</v>
      </c>
      <c r="F1513" s="30" t="n">
        <v>4816</v>
      </c>
      <c r="G1513" s="35" t="n">
        <v>0.363966142684402</v>
      </c>
    </row>
    <row r="1514" customFormat="false" ht="15" hidden="false" customHeight="false" outlineLevel="0" collapsed="false">
      <c r="A1514" s="25" t="s">
        <v>1848</v>
      </c>
      <c r="B1514" s="25" t="s">
        <v>200</v>
      </c>
      <c r="C1514" s="29" t="s">
        <v>355</v>
      </c>
      <c r="D1514" s="29" t="n">
        <v>1</v>
      </c>
      <c r="E1514" s="31" t="n">
        <v>13200</v>
      </c>
      <c r="F1514" s="31" t="n">
        <v>6952</v>
      </c>
      <c r="G1514" s="37" t="n">
        <v>0.526666666666667</v>
      </c>
    </row>
    <row r="1515" customFormat="false" ht="15" hidden="false" customHeight="false" outlineLevel="0" collapsed="false">
      <c r="A1515" s="20" t="s">
        <v>1849</v>
      </c>
      <c r="B1515" s="20" t="s">
        <v>194</v>
      </c>
      <c r="C1515" s="9" t="s">
        <v>231</v>
      </c>
      <c r="D1515" s="9" t="n">
        <v>3</v>
      </c>
      <c r="E1515" s="30" t="n">
        <v>13158</v>
      </c>
      <c r="F1515" s="30" t="n">
        <v>1974</v>
      </c>
      <c r="G1515" s="35" t="n">
        <v>0.150022799817601</v>
      </c>
    </row>
    <row r="1516" customFormat="false" ht="15" hidden="false" customHeight="false" outlineLevel="0" collapsed="false">
      <c r="A1516" s="25" t="s">
        <v>1850</v>
      </c>
      <c r="B1516" s="25" t="s">
        <v>194</v>
      </c>
      <c r="C1516" s="29" t="s">
        <v>217</v>
      </c>
      <c r="D1516" s="29" t="n">
        <v>1</v>
      </c>
      <c r="E1516" s="31" t="n">
        <v>13158</v>
      </c>
      <c r="F1516" s="31" t="n">
        <v>2479</v>
      </c>
      <c r="G1516" s="37" t="n">
        <v>0.188402492780058</v>
      </c>
    </row>
    <row r="1517" customFormat="false" ht="15" hidden="false" customHeight="false" outlineLevel="0" collapsed="false">
      <c r="A1517" s="20" t="s">
        <v>1851</v>
      </c>
      <c r="B1517" s="20" t="s">
        <v>200</v>
      </c>
      <c r="C1517" s="9" t="s">
        <v>223</v>
      </c>
      <c r="D1517" s="9" t="n">
        <v>28</v>
      </c>
      <c r="E1517" s="30" t="n">
        <v>13132</v>
      </c>
      <c r="F1517" s="30" t="n">
        <v>1971</v>
      </c>
      <c r="G1517" s="35" t="n">
        <v>0.150091379835516</v>
      </c>
    </row>
    <row r="1518" customFormat="false" ht="15" hidden="false" customHeight="false" outlineLevel="0" collapsed="false">
      <c r="A1518" s="25" t="s">
        <v>1852</v>
      </c>
      <c r="B1518" s="25" t="s">
        <v>194</v>
      </c>
      <c r="C1518" s="29" t="s">
        <v>380</v>
      </c>
      <c r="D1518" s="29" t="n">
        <v>2</v>
      </c>
      <c r="E1518" s="31" t="n">
        <v>13098</v>
      </c>
      <c r="F1518" s="31" t="n">
        <v>-1902</v>
      </c>
      <c r="G1518" s="37" t="n">
        <v>-0.145213009619789</v>
      </c>
    </row>
    <row r="1519" customFormat="false" ht="15" hidden="false" customHeight="false" outlineLevel="0" collapsed="false">
      <c r="A1519" s="20" t="s">
        <v>1853</v>
      </c>
      <c r="B1519" s="20" t="s">
        <v>1854</v>
      </c>
      <c r="C1519" s="9" t="s">
        <v>203</v>
      </c>
      <c r="D1519" s="9" t="n">
        <v>198</v>
      </c>
      <c r="E1519" s="30" t="n">
        <v>13068</v>
      </c>
      <c r="F1519" s="30" t="n">
        <v>1959</v>
      </c>
      <c r="G1519" s="35" t="n">
        <v>0.149908172635445</v>
      </c>
    </row>
    <row r="1520" customFormat="false" ht="15" hidden="false" customHeight="false" outlineLevel="0" collapsed="false">
      <c r="A1520" s="25" t="s">
        <v>1855</v>
      </c>
      <c r="B1520" s="25" t="s">
        <v>194</v>
      </c>
      <c r="C1520" s="29" t="s">
        <v>195</v>
      </c>
      <c r="D1520" s="29" t="n">
        <v>2</v>
      </c>
      <c r="E1520" s="31" t="n">
        <v>13051</v>
      </c>
      <c r="F1520" s="31" t="n">
        <v>2927</v>
      </c>
      <c r="G1520" s="37" t="n">
        <v>0.224274001992185</v>
      </c>
    </row>
    <row r="1521" customFormat="false" ht="15" hidden="false" customHeight="false" outlineLevel="0" collapsed="false">
      <c r="A1521" s="20" t="s">
        <v>1856</v>
      </c>
      <c r="B1521" s="20" t="s">
        <v>194</v>
      </c>
      <c r="C1521" s="9" t="s">
        <v>203</v>
      </c>
      <c r="D1521" s="9" t="n">
        <v>13</v>
      </c>
      <c r="E1521" s="30" t="n">
        <v>13039</v>
      </c>
      <c r="F1521" s="30" t="n">
        <v>1079</v>
      </c>
      <c r="G1521" s="35" t="n">
        <v>0.0827517447657028</v>
      </c>
    </row>
    <row r="1522" customFormat="false" ht="15" hidden="false" customHeight="false" outlineLevel="0" collapsed="false">
      <c r="A1522" s="25" t="s">
        <v>1857</v>
      </c>
      <c r="B1522" s="25" t="s">
        <v>194</v>
      </c>
      <c r="C1522" s="29" t="s">
        <v>203</v>
      </c>
      <c r="D1522" s="29" t="n">
        <v>9</v>
      </c>
      <c r="E1522" s="31" t="n">
        <v>13032</v>
      </c>
      <c r="F1522" s="31" t="n">
        <v>1953</v>
      </c>
      <c r="G1522" s="37" t="n">
        <v>0.149861878453039</v>
      </c>
    </row>
    <row r="1523" customFormat="false" ht="15" hidden="false" customHeight="false" outlineLevel="0" collapsed="false">
      <c r="A1523" s="20" t="s">
        <v>1858</v>
      </c>
      <c r="B1523" s="20" t="s">
        <v>1859</v>
      </c>
      <c r="C1523" s="9" t="s">
        <v>231</v>
      </c>
      <c r="D1523" s="9" t="n">
        <v>26</v>
      </c>
      <c r="E1523" s="30" t="n">
        <v>13026</v>
      </c>
      <c r="F1523" s="30" t="n">
        <v>1955</v>
      </c>
      <c r="G1523" s="35" t="n">
        <v>0.150084446491632</v>
      </c>
    </row>
    <row r="1524" customFormat="false" ht="15" hidden="false" customHeight="false" outlineLevel="0" collapsed="false">
      <c r="A1524" s="25" t="s">
        <v>1860</v>
      </c>
      <c r="B1524" s="25" t="s">
        <v>194</v>
      </c>
      <c r="C1524" s="29" t="s">
        <v>231</v>
      </c>
      <c r="D1524" s="29" t="n">
        <v>1</v>
      </c>
      <c r="E1524" s="31" t="n">
        <v>13018</v>
      </c>
      <c r="F1524" s="31" t="n">
        <v>1953</v>
      </c>
      <c r="G1524" s="37" t="n">
        <v>0.150023045014595</v>
      </c>
    </row>
    <row r="1525" customFormat="false" ht="15" hidden="false" customHeight="false" outlineLevel="0" collapsed="false">
      <c r="A1525" s="20" t="s">
        <v>1861</v>
      </c>
      <c r="B1525" s="20" t="s">
        <v>200</v>
      </c>
      <c r="C1525" s="9" t="s">
        <v>880</v>
      </c>
      <c r="D1525" s="9" t="n">
        <v>1</v>
      </c>
      <c r="E1525" s="30" t="n">
        <v>13000</v>
      </c>
      <c r="F1525" s="30" t="n">
        <v>-4882</v>
      </c>
      <c r="G1525" s="35" t="n">
        <v>-0.375538461538462</v>
      </c>
    </row>
    <row r="1526" customFormat="false" ht="15" hidden="false" customHeight="false" outlineLevel="0" collapsed="false">
      <c r="A1526" s="25" t="s">
        <v>1862</v>
      </c>
      <c r="B1526" s="25" t="s">
        <v>194</v>
      </c>
      <c r="C1526" s="29" t="s">
        <v>203</v>
      </c>
      <c r="D1526" s="29" t="n">
        <v>9</v>
      </c>
      <c r="E1526" s="31" t="n">
        <v>12996</v>
      </c>
      <c r="F1526" s="31" t="n">
        <v>8064</v>
      </c>
      <c r="G1526" s="37" t="n">
        <v>0.620498614958449</v>
      </c>
    </row>
    <row r="1527" customFormat="false" ht="15" hidden="false" customHeight="false" outlineLevel="0" collapsed="false">
      <c r="A1527" s="20" t="s">
        <v>1863</v>
      </c>
      <c r="B1527" s="20" t="s">
        <v>855</v>
      </c>
      <c r="C1527" s="9" t="s">
        <v>334</v>
      </c>
      <c r="D1527" s="9" t="n">
        <v>8</v>
      </c>
      <c r="E1527" s="30" t="n">
        <v>12992</v>
      </c>
      <c r="F1527" s="30" t="n">
        <v>1949</v>
      </c>
      <c r="G1527" s="35" t="n">
        <v>0.15001539408867</v>
      </c>
    </row>
    <row r="1528" customFormat="false" ht="15" hidden="false" customHeight="false" outlineLevel="0" collapsed="false">
      <c r="A1528" s="25" t="s">
        <v>1864</v>
      </c>
      <c r="B1528" s="25" t="s">
        <v>194</v>
      </c>
      <c r="C1528" s="29" t="s">
        <v>231</v>
      </c>
      <c r="D1528" s="29" t="n">
        <v>3</v>
      </c>
      <c r="E1528" s="31" t="n">
        <v>12963</v>
      </c>
      <c r="F1528" s="31" t="n">
        <v>1944</v>
      </c>
      <c r="G1528" s="37" t="n">
        <v>0.149965285813469</v>
      </c>
    </row>
    <row r="1529" customFormat="false" ht="15" hidden="false" customHeight="false" outlineLevel="0" collapsed="false">
      <c r="A1529" s="20" t="s">
        <v>1865</v>
      </c>
      <c r="B1529" s="20" t="s">
        <v>194</v>
      </c>
      <c r="C1529" s="9" t="s">
        <v>206</v>
      </c>
      <c r="D1529" s="9" t="n">
        <v>32</v>
      </c>
      <c r="E1529" s="30" t="n">
        <v>12960</v>
      </c>
      <c r="F1529" s="30" t="n">
        <v>2144</v>
      </c>
      <c r="G1529" s="35" t="n">
        <v>0.165432098765432</v>
      </c>
    </row>
    <row r="1530" customFormat="false" ht="15" hidden="false" customHeight="false" outlineLevel="0" collapsed="false">
      <c r="A1530" s="25" t="s">
        <v>1866</v>
      </c>
      <c r="B1530" s="25" t="s">
        <v>194</v>
      </c>
      <c r="C1530" s="29" t="s">
        <v>297</v>
      </c>
      <c r="D1530" s="29" t="n">
        <v>2</v>
      </c>
      <c r="E1530" s="31" t="n">
        <v>12953</v>
      </c>
      <c r="F1530" s="31" t="n">
        <v>3589</v>
      </c>
      <c r="G1530" s="37" t="n">
        <v>0.277078669034201</v>
      </c>
    </row>
    <row r="1531" customFormat="false" ht="15" hidden="false" customHeight="false" outlineLevel="0" collapsed="false">
      <c r="A1531" s="20" t="s">
        <v>1867</v>
      </c>
      <c r="B1531" s="20" t="s">
        <v>194</v>
      </c>
      <c r="C1531" s="9" t="s">
        <v>880</v>
      </c>
      <c r="D1531" s="9" t="n">
        <v>3</v>
      </c>
      <c r="E1531" s="30" t="n">
        <v>12951</v>
      </c>
      <c r="F1531" s="30" t="n">
        <v>-1593</v>
      </c>
      <c r="G1531" s="35" t="n">
        <v>-0.123002084781098</v>
      </c>
    </row>
    <row r="1532" customFormat="false" ht="15" hidden="false" customHeight="false" outlineLevel="0" collapsed="false">
      <c r="A1532" s="25" t="s">
        <v>1868</v>
      </c>
      <c r="B1532" s="25" t="s">
        <v>194</v>
      </c>
      <c r="C1532" s="29" t="s">
        <v>368</v>
      </c>
      <c r="D1532" s="29" t="n">
        <v>1</v>
      </c>
      <c r="E1532" s="31" t="n">
        <v>12927</v>
      </c>
      <c r="F1532" s="31" t="n">
        <v>1939</v>
      </c>
      <c r="G1532" s="37" t="n">
        <v>0.149996132126557</v>
      </c>
    </row>
    <row r="1533" customFormat="false" ht="15" hidden="false" customHeight="false" outlineLevel="0" collapsed="false">
      <c r="A1533" s="20" t="s">
        <v>1869</v>
      </c>
      <c r="B1533" s="20" t="s">
        <v>200</v>
      </c>
      <c r="C1533" s="9" t="s">
        <v>439</v>
      </c>
      <c r="D1533" s="9" t="n">
        <v>1</v>
      </c>
      <c r="E1533" s="30" t="n">
        <v>12901</v>
      </c>
      <c r="F1533" s="30" t="n">
        <v>11451</v>
      </c>
      <c r="G1533" s="35" t="n">
        <v>0.887605611968065</v>
      </c>
    </row>
    <row r="1534" customFormat="false" ht="15" hidden="false" customHeight="false" outlineLevel="0" collapsed="false">
      <c r="A1534" s="25" t="s">
        <v>1870</v>
      </c>
      <c r="B1534" s="25" t="s">
        <v>194</v>
      </c>
      <c r="C1534" s="29" t="s">
        <v>203</v>
      </c>
      <c r="D1534" s="29" t="n">
        <v>1</v>
      </c>
      <c r="E1534" s="31" t="n">
        <v>12845</v>
      </c>
      <c r="F1534" s="31" t="n">
        <v>2876</v>
      </c>
      <c r="G1534" s="37" t="n">
        <v>0.223900350330868</v>
      </c>
    </row>
    <row r="1535" customFormat="false" ht="15" hidden="false" customHeight="false" outlineLevel="0" collapsed="false">
      <c r="A1535" s="20" t="s">
        <v>1871</v>
      </c>
      <c r="B1535" s="20" t="s">
        <v>194</v>
      </c>
      <c r="C1535" s="9" t="s">
        <v>334</v>
      </c>
      <c r="D1535" s="9" t="n">
        <v>4</v>
      </c>
      <c r="E1535" s="30" t="n">
        <v>12832</v>
      </c>
      <c r="F1535" s="30" t="n">
        <v>3848</v>
      </c>
      <c r="G1535" s="35" t="n">
        <v>0.299875311720698</v>
      </c>
    </row>
    <row r="1536" customFormat="false" ht="15" hidden="false" customHeight="false" outlineLevel="0" collapsed="false">
      <c r="A1536" s="25" t="s">
        <v>1872</v>
      </c>
      <c r="B1536" s="29" t="s">
        <v>281</v>
      </c>
      <c r="C1536" s="29" t="s">
        <v>197</v>
      </c>
      <c r="D1536" s="29" t="n">
        <v>3</v>
      </c>
      <c r="E1536" s="31" t="n">
        <v>12783</v>
      </c>
      <c r="F1536" s="31" t="n">
        <v>-3894</v>
      </c>
      <c r="G1536" s="37" t="n">
        <v>-0.304623327857311</v>
      </c>
    </row>
    <row r="1537" customFormat="false" ht="15" hidden="false" customHeight="false" outlineLevel="0" collapsed="false">
      <c r="A1537" s="20" t="s">
        <v>1873</v>
      </c>
      <c r="B1537" s="20" t="s">
        <v>194</v>
      </c>
      <c r="C1537" s="9" t="s">
        <v>203</v>
      </c>
      <c r="D1537" s="9" t="n">
        <v>6</v>
      </c>
      <c r="E1537" s="30" t="n">
        <v>12744</v>
      </c>
      <c r="F1537" s="30" t="n">
        <v>1836</v>
      </c>
      <c r="G1537" s="35" t="n">
        <v>0.14406779661017</v>
      </c>
    </row>
    <row r="1538" customFormat="false" ht="15" hidden="false" customHeight="false" outlineLevel="0" collapsed="false">
      <c r="A1538" s="25" t="s">
        <v>1874</v>
      </c>
      <c r="B1538" s="29" t="s">
        <v>216</v>
      </c>
      <c r="C1538" s="29" t="s">
        <v>428</v>
      </c>
      <c r="D1538" s="29" t="n">
        <v>50</v>
      </c>
      <c r="E1538" s="31" t="n">
        <v>12700</v>
      </c>
      <c r="F1538" s="31" t="n">
        <v>9250</v>
      </c>
      <c r="G1538" s="37" t="n">
        <v>0.728346456692913</v>
      </c>
    </row>
    <row r="1539" customFormat="false" ht="15" hidden="false" customHeight="false" outlineLevel="0" collapsed="false">
      <c r="A1539" s="20" t="s">
        <v>1875</v>
      </c>
      <c r="B1539" s="9" t="s">
        <v>281</v>
      </c>
      <c r="C1539" s="9" t="s">
        <v>197</v>
      </c>
      <c r="D1539" s="9" t="n">
        <v>2</v>
      </c>
      <c r="E1539" s="30" t="n">
        <v>12686</v>
      </c>
      <c r="F1539" s="30" t="n">
        <v>3980</v>
      </c>
      <c r="G1539" s="35" t="n">
        <v>0.313731672710074</v>
      </c>
    </row>
    <row r="1540" customFormat="false" ht="15" hidden="false" customHeight="false" outlineLevel="0" collapsed="false">
      <c r="A1540" s="25" t="s">
        <v>1876</v>
      </c>
      <c r="B1540" s="25" t="s">
        <v>194</v>
      </c>
      <c r="C1540" s="29" t="s">
        <v>223</v>
      </c>
      <c r="D1540" s="29" t="n">
        <v>7</v>
      </c>
      <c r="E1540" s="31" t="n">
        <v>12656</v>
      </c>
      <c r="F1540" s="31" t="n">
        <v>5705</v>
      </c>
      <c r="G1540" s="37" t="n">
        <v>0.450774336283186</v>
      </c>
    </row>
    <row r="1541" customFormat="false" ht="15" hidden="false" customHeight="false" outlineLevel="0" collapsed="false">
      <c r="A1541" s="20" t="s">
        <v>1877</v>
      </c>
      <c r="B1541" s="9" t="s">
        <v>281</v>
      </c>
      <c r="C1541" s="9" t="s">
        <v>197</v>
      </c>
      <c r="D1541" s="9" t="n">
        <v>4</v>
      </c>
      <c r="E1541" s="30" t="n">
        <v>12648</v>
      </c>
      <c r="F1541" s="30" t="n">
        <v>8188</v>
      </c>
      <c r="G1541" s="35" t="n">
        <v>0.647375079063884</v>
      </c>
    </row>
    <row r="1542" customFormat="false" ht="15" hidden="false" customHeight="false" outlineLevel="0" collapsed="false">
      <c r="A1542" s="25" t="s">
        <v>1878</v>
      </c>
      <c r="B1542" s="25" t="s">
        <v>220</v>
      </c>
      <c r="C1542" s="29" t="s">
        <v>217</v>
      </c>
      <c r="D1542" s="29" t="n">
        <v>24</v>
      </c>
      <c r="E1542" s="31" t="n">
        <v>12624</v>
      </c>
      <c r="F1542" s="31" t="n">
        <v>6984</v>
      </c>
      <c r="G1542" s="37" t="n">
        <v>0.553231939163498</v>
      </c>
    </row>
    <row r="1543" customFormat="false" ht="15" hidden="false" customHeight="false" outlineLevel="0" collapsed="false">
      <c r="A1543" s="20" t="s">
        <v>1879</v>
      </c>
      <c r="B1543" s="20" t="s">
        <v>194</v>
      </c>
      <c r="C1543" s="9" t="s">
        <v>195</v>
      </c>
      <c r="D1543" s="9" t="n">
        <v>2</v>
      </c>
      <c r="E1543" s="30" t="n">
        <v>12618</v>
      </c>
      <c r="F1543" s="30" t="n">
        <v>3852</v>
      </c>
      <c r="G1543" s="35" t="n">
        <v>0.30527817403709</v>
      </c>
    </row>
    <row r="1544" customFormat="false" ht="15" hidden="false" customHeight="false" outlineLevel="0" collapsed="false">
      <c r="A1544" s="25" t="s">
        <v>1880</v>
      </c>
      <c r="B1544" s="29" t="s">
        <v>216</v>
      </c>
      <c r="C1544" s="29" t="s">
        <v>428</v>
      </c>
      <c r="D1544" s="29" t="n">
        <v>17</v>
      </c>
      <c r="E1544" s="31" t="n">
        <v>12529</v>
      </c>
      <c r="F1544" s="31" t="n">
        <v>-527</v>
      </c>
      <c r="G1544" s="37" t="n">
        <v>-0.0420624151967435</v>
      </c>
    </row>
    <row r="1545" customFormat="false" ht="15" hidden="false" customHeight="false" outlineLevel="0" collapsed="false">
      <c r="A1545" s="20" t="s">
        <v>1881</v>
      </c>
      <c r="B1545" s="9" t="s">
        <v>253</v>
      </c>
      <c r="C1545" s="9" t="s">
        <v>428</v>
      </c>
      <c r="D1545" s="9" t="n">
        <v>500</v>
      </c>
      <c r="E1545" s="30" t="n">
        <v>12500</v>
      </c>
      <c r="F1545" s="30" t="n">
        <v>1875</v>
      </c>
      <c r="G1545" s="35" t="n">
        <v>0.15</v>
      </c>
    </row>
    <row r="1546" customFormat="false" ht="15" hidden="false" customHeight="false" outlineLevel="0" collapsed="false">
      <c r="A1546" s="25" t="s">
        <v>1882</v>
      </c>
      <c r="B1546" s="25" t="s">
        <v>194</v>
      </c>
      <c r="C1546" s="29" t="s">
        <v>197</v>
      </c>
      <c r="D1546" s="29" t="n">
        <v>3</v>
      </c>
      <c r="E1546" s="31" t="n">
        <v>12492</v>
      </c>
      <c r="F1546" s="31" t="n">
        <v>2709</v>
      </c>
      <c r="G1546" s="37" t="n">
        <v>0.21685878962536</v>
      </c>
    </row>
    <row r="1547" customFormat="false" ht="15" hidden="false" customHeight="false" outlineLevel="0" collapsed="false">
      <c r="A1547" s="20" t="s">
        <v>1883</v>
      </c>
      <c r="B1547" s="9" t="s">
        <v>253</v>
      </c>
      <c r="C1547" s="9" t="s">
        <v>254</v>
      </c>
      <c r="D1547" s="9" t="n">
        <v>38</v>
      </c>
      <c r="E1547" s="30" t="n">
        <v>12464</v>
      </c>
      <c r="F1547" s="30" t="n">
        <v>1871</v>
      </c>
      <c r="G1547" s="35" t="n">
        <v>0.150112323491656</v>
      </c>
    </row>
    <row r="1548" customFormat="false" ht="15" hidden="false" customHeight="false" outlineLevel="0" collapsed="false">
      <c r="A1548" s="25" t="s">
        <v>1884</v>
      </c>
      <c r="B1548" s="25" t="s">
        <v>200</v>
      </c>
      <c r="C1548" s="29" t="s">
        <v>1885</v>
      </c>
      <c r="D1548" s="29" t="n">
        <v>1</v>
      </c>
      <c r="E1548" s="31" t="n">
        <v>12426</v>
      </c>
      <c r="F1548" s="31" t="n">
        <v>11176</v>
      </c>
      <c r="G1548" s="37" t="n">
        <v>0.899404474488975</v>
      </c>
    </row>
    <row r="1549" customFormat="false" ht="15" hidden="false" customHeight="false" outlineLevel="0" collapsed="false">
      <c r="A1549" s="20" t="s">
        <v>1886</v>
      </c>
      <c r="B1549" s="20" t="s">
        <v>200</v>
      </c>
      <c r="C1549" s="9" t="s">
        <v>380</v>
      </c>
      <c r="D1549" s="9" t="n">
        <v>2</v>
      </c>
      <c r="E1549" s="30" t="n">
        <v>12420</v>
      </c>
      <c r="F1549" s="30" t="n">
        <v>6420</v>
      </c>
      <c r="G1549" s="35" t="n">
        <v>0.516908212560386</v>
      </c>
    </row>
    <row r="1550" customFormat="false" ht="15" hidden="false" customHeight="false" outlineLevel="0" collapsed="false">
      <c r="A1550" s="25" t="s">
        <v>1887</v>
      </c>
      <c r="B1550" s="25" t="s">
        <v>194</v>
      </c>
      <c r="C1550" s="29" t="s">
        <v>203</v>
      </c>
      <c r="D1550" s="29" t="n">
        <v>4</v>
      </c>
      <c r="E1550" s="31" t="n">
        <v>12348</v>
      </c>
      <c r="F1550" s="31" t="n">
        <v>1664</v>
      </c>
      <c r="G1550" s="37" t="n">
        <v>0.13475866537091</v>
      </c>
    </row>
    <row r="1551" customFormat="false" ht="15" hidden="false" customHeight="false" outlineLevel="0" collapsed="false">
      <c r="A1551" s="20" t="s">
        <v>1888</v>
      </c>
      <c r="B1551" s="9" t="s">
        <v>281</v>
      </c>
      <c r="C1551" s="9" t="s">
        <v>197</v>
      </c>
      <c r="D1551" s="9" t="n">
        <v>2</v>
      </c>
      <c r="E1551" s="30" t="n">
        <v>12290</v>
      </c>
      <c r="F1551" s="30" t="n">
        <v>2602</v>
      </c>
      <c r="G1551" s="35" t="n">
        <v>0.211716842961758</v>
      </c>
    </row>
    <row r="1552" customFormat="false" ht="15" hidden="false" customHeight="false" outlineLevel="0" collapsed="false">
      <c r="A1552" s="25" t="s">
        <v>1889</v>
      </c>
      <c r="B1552" s="25" t="s">
        <v>194</v>
      </c>
      <c r="C1552" s="29" t="s">
        <v>439</v>
      </c>
      <c r="D1552" s="29" t="n">
        <v>1</v>
      </c>
      <c r="E1552" s="31" t="n">
        <v>12247</v>
      </c>
      <c r="F1552" s="31" t="n">
        <v>1837</v>
      </c>
      <c r="G1552" s="37" t="n">
        <v>0.149995917367519</v>
      </c>
    </row>
    <row r="1553" customFormat="false" ht="15" hidden="false" customHeight="false" outlineLevel="0" collapsed="false">
      <c r="A1553" s="20" t="s">
        <v>1890</v>
      </c>
      <c r="B1553" s="20" t="s">
        <v>194</v>
      </c>
      <c r="C1553" s="9" t="s">
        <v>223</v>
      </c>
      <c r="D1553" s="9" t="n">
        <v>1</v>
      </c>
      <c r="E1553" s="30" t="n">
        <v>12244</v>
      </c>
      <c r="F1553" s="30" t="n">
        <v>4495</v>
      </c>
      <c r="G1553" s="35" t="n">
        <v>0.367118588696504</v>
      </c>
    </row>
    <row r="1554" customFormat="false" ht="15" hidden="false" customHeight="false" outlineLevel="0" collapsed="false">
      <c r="A1554" s="25" t="s">
        <v>1891</v>
      </c>
      <c r="B1554" s="25" t="s">
        <v>194</v>
      </c>
      <c r="C1554" s="29" t="s">
        <v>334</v>
      </c>
      <c r="D1554" s="29" t="n">
        <v>4</v>
      </c>
      <c r="E1554" s="31" t="n">
        <v>12240</v>
      </c>
      <c r="F1554" s="31" t="n">
        <v>3136</v>
      </c>
      <c r="G1554" s="37" t="n">
        <v>0.256209150326797</v>
      </c>
    </row>
    <row r="1555" customFormat="false" ht="15" hidden="false" customHeight="false" outlineLevel="0" collapsed="false">
      <c r="A1555" s="20" t="s">
        <v>1892</v>
      </c>
      <c r="B1555" s="9" t="s">
        <v>253</v>
      </c>
      <c r="C1555" s="9" t="s">
        <v>254</v>
      </c>
      <c r="D1555" s="9" t="n">
        <v>38</v>
      </c>
      <c r="E1555" s="30" t="n">
        <v>12236</v>
      </c>
      <c r="F1555" s="30" t="n">
        <v>1836</v>
      </c>
      <c r="G1555" s="35" t="n">
        <v>0.15004903563256</v>
      </c>
    </row>
    <row r="1556" customFormat="false" ht="15" hidden="false" customHeight="false" outlineLevel="0" collapsed="false">
      <c r="A1556" s="25" t="s">
        <v>1893</v>
      </c>
      <c r="B1556" s="29" t="s">
        <v>253</v>
      </c>
      <c r="C1556" s="29" t="s">
        <v>229</v>
      </c>
      <c r="D1556" s="29" t="n">
        <v>1</v>
      </c>
      <c r="E1556" s="31" t="n">
        <v>12227</v>
      </c>
      <c r="F1556" s="31" t="n">
        <v>1834</v>
      </c>
      <c r="G1556" s="37" t="n">
        <v>0.149995910689458</v>
      </c>
    </row>
    <row r="1557" customFormat="false" ht="15" hidden="false" customHeight="false" outlineLevel="0" collapsed="false">
      <c r="A1557" s="20" t="s">
        <v>1894</v>
      </c>
      <c r="B1557" s="20" t="s">
        <v>194</v>
      </c>
      <c r="C1557" s="9" t="s">
        <v>195</v>
      </c>
      <c r="D1557" s="9" t="n">
        <v>1</v>
      </c>
      <c r="E1557" s="30" t="n">
        <v>12217</v>
      </c>
      <c r="F1557" s="30" t="n">
        <v>9250</v>
      </c>
      <c r="G1557" s="35" t="n">
        <v>0.757141687812065</v>
      </c>
    </row>
    <row r="1558" customFormat="false" ht="15" hidden="false" customHeight="false" outlineLevel="0" collapsed="false">
      <c r="A1558" s="25" t="s">
        <v>1895</v>
      </c>
      <c r="B1558" s="25" t="s">
        <v>194</v>
      </c>
      <c r="C1558" s="29" t="s">
        <v>485</v>
      </c>
      <c r="D1558" s="29" t="n">
        <v>2</v>
      </c>
      <c r="E1558" s="31" t="n">
        <v>12156</v>
      </c>
      <c r="F1558" s="31" t="n">
        <v>3774</v>
      </c>
      <c r="G1558" s="37" t="n">
        <v>0.310463968410661</v>
      </c>
    </row>
    <row r="1559" customFormat="false" ht="15" hidden="false" customHeight="false" outlineLevel="0" collapsed="false">
      <c r="A1559" s="20" t="s">
        <v>1896</v>
      </c>
      <c r="B1559" s="20" t="s">
        <v>194</v>
      </c>
      <c r="C1559" s="9" t="s">
        <v>880</v>
      </c>
      <c r="D1559" s="9" t="n">
        <v>1</v>
      </c>
      <c r="E1559" s="30" t="n">
        <v>12130</v>
      </c>
      <c r="F1559" s="30" t="n">
        <v>10330</v>
      </c>
      <c r="G1559" s="35" t="n">
        <v>0.851607584501237</v>
      </c>
    </row>
    <row r="1560" customFormat="false" ht="15" hidden="false" customHeight="false" outlineLevel="0" collapsed="false">
      <c r="A1560" s="25" t="s">
        <v>1897</v>
      </c>
      <c r="B1560" s="29" t="s">
        <v>253</v>
      </c>
      <c r="C1560" s="29" t="s">
        <v>254</v>
      </c>
      <c r="D1560" s="29" t="n">
        <v>38</v>
      </c>
      <c r="E1560" s="31" t="n">
        <v>12122</v>
      </c>
      <c r="F1560" s="31" t="n">
        <v>1820</v>
      </c>
      <c r="G1560" s="37" t="n">
        <v>0.150140240884343</v>
      </c>
    </row>
    <row r="1561" customFormat="false" ht="15" hidden="false" customHeight="false" outlineLevel="0" collapsed="false">
      <c r="A1561" s="20" t="s">
        <v>1898</v>
      </c>
      <c r="B1561" s="20" t="s">
        <v>200</v>
      </c>
      <c r="C1561" s="9" t="s">
        <v>195</v>
      </c>
      <c r="D1561" s="9" t="n">
        <v>2</v>
      </c>
      <c r="E1561" s="30" t="n">
        <v>12122</v>
      </c>
      <c r="F1561" s="30" t="n">
        <v>4770</v>
      </c>
      <c r="G1561" s="35" t="n">
        <v>0.393499422537535</v>
      </c>
    </row>
    <row r="1562" customFormat="false" ht="15" hidden="false" customHeight="false" outlineLevel="0" collapsed="false">
      <c r="A1562" s="25" t="s">
        <v>1899</v>
      </c>
      <c r="B1562" s="29" t="s">
        <v>253</v>
      </c>
      <c r="C1562" s="29" t="s">
        <v>428</v>
      </c>
      <c r="D1562" s="29" t="n">
        <v>8</v>
      </c>
      <c r="E1562" s="31" t="n">
        <v>12024</v>
      </c>
      <c r="F1562" s="31" t="n">
        <v>7216</v>
      </c>
      <c r="G1562" s="37" t="n">
        <v>0.600133067198935</v>
      </c>
    </row>
    <row r="1563" customFormat="false" ht="15" hidden="false" customHeight="false" outlineLevel="0" collapsed="false">
      <c r="A1563" s="20" t="s">
        <v>1900</v>
      </c>
      <c r="B1563" s="9" t="s">
        <v>281</v>
      </c>
      <c r="C1563" s="9" t="s">
        <v>197</v>
      </c>
      <c r="D1563" s="9" t="n">
        <v>4</v>
      </c>
      <c r="E1563" s="30" t="n">
        <v>12020</v>
      </c>
      <c r="F1563" s="30" t="n">
        <v>5752</v>
      </c>
      <c r="G1563" s="35" t="n">
        <v>0.478535773710483</v>
      </c>
    </row>
    <row r="1564" customFormat="false" ht="15" hidden="false" customHeight="false" outlineLevel="0" collapsed="false">
      <c r="A1564" s="25" t="s">
        <v>1901</v>
      </c>
      <c r="B1564" s="25" t="s">
        <v>194</v>
      </c>
      <c r="C1564" s="29" t="s">
        <v>334</v>
      </c>
      <c r="D1564" s="29" t="n">
        <v>4</v>
      </c>
      <c r="E1564" s="31" t="n">
        <v>12016</v>
      </c>
      <c r="F1564" s="31" t="n">
        <v>-604</v>
      </c>
      <c r="G1564" s="37" t="n">
        <v>-0.0502663115845539</v>
      </c>
    </row>
    <row r="1565" customFormat="false" ht="15" hidden="false" customHeight="false" outlineLevel="0" collapsed="false">
      <c r="A1565" s="20" t="s">
        <v>1902</v>
      </c>
      <c r="B1565" s="20" t="s">
        <v>194</v>
      </c>
      <c r="C1565" s="9" t="s">
        <v>223</v>
      </c>
      <c r="D1565" s="9" t="n">
        <v>2</v>
      </c>
      <c r="E1565" s="30" t="n">
        <v>12012</v>
      </c>
      <c r="F1565" s="30" t="n">
        <v>4068</v>
      </c>
      <c r="G1565" s="35" t="n">
        <v>0.338661338661339</v>
      </c>
    </row>
    <row r="1566" customFormat="false" ht="15" hidden="false" customHeight="false" outlineLevel="0" collapsed="false">
      <c r="A1566" s="25" t="s">
        <v>1903</v>
      </c>
      <c r="B1566" s="25" t="s">
        <v>194</v>
      </c>
      <c r="C1566" s="29" t="s">
        <v>203</v>
      </c>
      <c r="D1566" s="29" t="n">
        <v>10</v>
      </c>
      <c r="E1566" s="31" t="n">
        <v>12010</v>
      </c>
      <c r="F1566" s="31" t="n">
        <v>2810</v>
      </c>
      <c r="G1566" s="37" t="n">
        <v>0.233971690258118</v>
      </c>
    </row>
    <row r="1567" customFormat="false" ht="15" hidden="false" customHeight="false" outlineLevel="0" collapsed="false">
      <c r="A1567" s="20" t="s">
        <v>1904</v>
      </c>
      <c r="B1567" s="20" t="s">
        <v>194</v>
      </c>
      <c r="C1567" s="9" t="s">
        <v>195</v>
      </c>
      <c r="D1567" s="9" t="n">
        <v>10</v>
      </c>
      <c r="E1567" s="30" t="n">
        <v>11979</v>
      </c>
      <c r="F1567" s="30" t="n">
        <v>5739</v>
      </c>
      <c r="G1567" s="35" t="n">
        <v>0.479088404708239</v>
      </c>
    </row>
    <row r="1568" customFormat="false" ht="15" hidden="false" customHeight="false" outlineLevel="0" collapsed="false">
      <c r="A1568" s="25" t="s">
        <v>1905</v>
      </c>
      <c r="B1568" s="25" t="s">
        <v>194</v>
      </c>
      <c r="C1568" s="29" t="s">
        <v>195</v>
      </c>
      <c r="D1568" s="29" t="n">
        <v>2</v>
      </c>
      <c r="E1568" s="31" t="n">
        <v>11940</v>
      </c>
      <c r="F1568" s="31" t="n">
        <v>4814</v>
      </c>
      <c r="G1568" s="37" t="n">
        <v>0.403182579564489</v>
      </c>
    </row>
    <row r="1569" customFormat="false" ht="15" hidden="false" customHeight="false" outlineLevel="0" collapsed="false">
      <c r="A1569" s="20" t="s">
        <v>1906</v>
      </c>
      <c r="B1569" s="20" t="s">
        <v>200</v>
      </c>
      <c r="C1569" s="9" t="s">
        <v>223</v>
      </c>
      <c r="D1569" s="9" t="n">
        <v>1</v>
      </c>
      <c r="E1569" s="30" t="n">
        <v>11937</v>
      </c>
      <c r="F1569" s="30" t="n">
        <v>2547</v>
      </c>
      <c r="G1569" s="35" t="n">
        <v>0.213370193515959</v>
      </c>
    </row>
    <row r="1570" customFormat="false" ht="15" hidden="false" customHeight="false" outlineLevel="0" collapsed="false">
      <c r="A1570" s="25" t="s">
        <v>1907</v>
      </c>
      <c r="B1570" s="29" t="s">
        <v>253</v>
      </c>
      <c r="C1570" s="29" t="s">
        <v>229</v>
      </c>
      <c r="D1570" s="29" t="n">
        <v>1</v>
      </c>
      <c r="E1570" s="31" t="n">
        <v>11935</v>
      </c>
      <c r="F1570" s="31" t="n">
        <v>1790</v>
      </c>
      <c r="G1570" s="37" t="n">
        <v>0.14997905320486</v>
      </c>
    </row>
    <row r="1571" customFormat="false" ht="15" hidden="false" customHeight="false" outlineLevel="0" collapsed="false">
      <c r="A1571" s="20" t="s">
        <v>1908</v>
      </c>
      <c r="B1571" s="9" t="s">
        <v>253</v>
      </c>
      <c r="C1571" s="9" t="s">
        <v>223</v>
      </c>
      <c r="D1571" s="9" t="n">
        <v>1</v>
      </c>
      <c r="E1571" s="30" t="n">
        <v>11929</v>
      </c>
      <c r="F1571" s="30" t="n">
        <v>7244</v>
      </c>
      <c r="G1571" s="35" t="n">
        <v>0.607259619414871</v>
      </c>
    </row>
    <row r="1572" customFormat="false" ht="15" hidden="false" customHeight="false" outlineLevel="0" collapsed="false">
      <c r="A1572" s="25" t="s">
        <v>1909</v>
      </c>
      <c r="B1572" s="25" t="s">
        <v>240</v>
      </c>
      <c r="C1572" s="29" t="s">
        <v>258</v>
      </c>
      <c r="D1572" s="29" t="n">
        <v>2</v>
      </c>
      <c r="E1572" s="31" t="n">
        <v>11914</v>
      </c>
      <c r="F1572" s="31" t="n">
        <v>1788</v>
      </c>
      <c r="G1572" s="37" t="n">
        <v>0.150075541379889</v>
      </c>
    </row>
    <row r="1573" customFormat="false" ht="15" hidden="false" customHeight="false" outlineLevel="0" collapsed="false">
      <c r="A1573" s="20" t="s">
        <v>1910</v>
      </c>
      <c r="B1573" s="20" t="s">
        <v>194</v>
      </c>
      <c r="C1573" s="9" t="s">
        <v>485</v>
      </c>
      <c r="D1573" s="9" t="n">
        <v>2</v>
      </c>
      <c r="E1573" s="30" t="n">
        <v>11900</v>
      </c>
      <c r="F1573" s="30" t="n">
        <v>8302</v>
      </c>
      <c r="G1573" s="35" t="n">
        <v>0.697647058823529</v>
      </c>
    </row>
    <row r="1574" customFormat="false" ht="15" hidden="false" customHeight="false" outlineLevel="0" collapsed="false">
      <c r="A1574" s="25" t="s">
        <v>1911</v>
      </c>
      <c r="B1574" s="25" t="s">
        <v>194</v>
      </c>
      <c r="C1574" s="29" t="s">
        <v>223</v>
      </c>
      <c r="D1574" s="29" t="n">
        <v>2</v>
      </c>
      <c r="E1574" s="31" t="n">
        <v>11900</v>
      </c>
      <c r="F1574" s="31" t="n">
        <v>3682</v>
      </c>
      <c r="G1574" s="37" t="n">
        <v>0.309411764705882</v>
      </c>
    </row>
    <row r="1575" customFormat="false" ht="15" hidden="false" customHeight="false" outlineLevel="0" collapsed="false">
      <c r="A1575" s="20" t="s">
        <v>1912</v>
      </c>
      <c r="B1575" s="9" t="s">
        <v>253</v>
      </c>
      <c r="C1575" s="9" t="s">
        <v>428</v>
      </c>
      <c r="D1575" s="9" t="n">
        <v>1</v>
      </c>
      <c r="E1575" s="30" t="n">
        <v>11872</v>
      </c>
      <c r="F1575" s="30" t="n">
        <v>3860</v>
      </c>
      <c r="G1575" s="35" t="n">
        <v>0.325134770889488</v>
      </c>
    </row>
    <row r="1576" customFormat="false" ht="15" hidden="false" customHeight="false" outlineLevel="0" collapsed="false">
      <c r="A1576" s="25" t="s">
        <v>1913</v>
      </c>
      <c r="B1576" s="25" t="s">
        <v>194</v>
      </c>
      <c r="C1576" s="29" t="s">
        <v>203</v>
      </c>
      <c r="D1576" s="29" t="n">
        <v>2</v>
      </c>
      <c r="E1576" s="31" t="n">
        <v>11840</v>
      </c>
      <c r="F1576" s="31" t="n">
        <v>9720</v>
      </c>
      <c r="G1576" s="37" t="n">
        <v>0.820945945945946</v>
      </c>
    </row>
    <row r="1577" customFormat="false" ht="15" hidden="false" customHeight="false" outlineLevel="0" collapsed="false">
      <c r="A1577" s="20" t="s">
        <v>1914</v>
      </c>
      <c r="B1577" s="20" t="s">
        <v>194</v>
      </c>
      <c r="C1577" s="9" t="s">
        <v>203</v>
      </c>
      <c r="D1577" s="9" t="n">
        <v>9</v>
      </c>
      <c r="E1577" s="30" t="n">
        <v>11835</v>
      </c>
      <c r="F1577" s="30" t="n">
        <v>1035</v>
      </c>
      <c r="G1577" s="35" t="n">
        <v>0.0874524714828897</v>
      </c>
    </row>
    <row r="1578" customFormat="false" ht="15" hidden="false" customHeight="false" outlineLevel="0" collapsed="false">
      <c r="A1578" s="25" t="s">
        <v>1915</v>
      </c>
      <c r="B1578" s="25" t="s">
        <v>222</v>
      </c>
      <c r="C1578" s="29" t="s">
        <v>223</v>
      </c>
      <c r="D1578" s="29" t="n">
        <v>1</v>
      </c>
      <c r="E1578" s="31" t="n">
        <v>11830</v>
      </c>
      <c r="F1578" s="31" t="n">
        <v>3353</v>
      </c>
      <c r="G1578" s="37" t="n">
        <v>0.283431952662722</v>
      </c>
    </row>
    <row r="1579" customFormat="false" ht="15" hidden="false" customHeight="false" outlineLevel="0" collapsed="false">
      <c r="A1579" s="20" t="s">
        <v>1916</v>
      </c>
      <c r="B1579" s="20" t="s">
        <v>194</v>
      </c>
      <c r="C1579" s="9" t="s">
        <v>203</v>
      </c>
      <c r="D1579" s="9" t="n">
        <v>18</v>
      </c>
      <c r="E1579" s="30" t="n">
        <v>11826</v>
      </c>
      <c r="F1579" s="30" t="n">
        <v>7326</v>
      </c>
      <c r="G1579" s="35" t="n">
        <v>0.619482496194825</v>
      </c>
    </row>
    <row r="1580" customFormat="false" ht="15" hidden="false" customHeight="false" outlineLevel="0" collapsed="false">
      <c r="A1580" s="25" t="s">
        <v>1917</v>
      </c>
      <c r="B1580" s="29" t="s">
        <v>253</v>
      </c>
      <c r="C1580" s="29" t="s">
        <v>254</v>
      </c>
      <c r="D1580" s="29" t="n">
        <v>6</v>
      </c>
      <c r="E1580" s="31" t="n">
        <v>11814</v>
      </c>
      <c r="F1580" s="31" t="n">
        <v>4410</v>
      </c>
      <c r="G1580" s="37" t="n">
        <v>0.37328593194515</v>
      </c>
    </row>
    <row r="1581" customFormat="false" ht="15" hidden="false" customHeight="false" outlineLevel="0" collapsed="false">
      <c r="A1581" s="20" t="s">
        <v>1918</v>
      </c>
      <c r="B1581" s="20" t="s">
        <v>194</v>
      </c>
      <c r="C1581" s="9" t="s">
        <v>223</v>
      </c>
      <c r="D1581" s="9" t="n">
        <v>1</v>
      </c>
      <c r="E1581" s="30" t="n">
        <v>11798</v>
      </c>
      <c r="F1581" s="30" t="n">
        <v>1772</v>
      </c>
      <c r="G1581" s="35" t="n">
        <v>0.150194948296321</v>
      </c>
    </row>
    <row r="1582" customFormat="false" ht="15" hidden="false" customHeight="false" outlineLevel="0" collapsed="false">
      <c r="A1582" s="25" t="s">
        <v>1919</v>
      </c>
      <c r="B1582" s="25" t="s">
        <v>891</v>
      </c>
      <c r="C1582" s="29" t="s">
        <v>297</v>
      </c>
      <c r="D1582" s="29" t="n">
        <v>2</v>
      </c>
      <c r="E1582" s="31" t="n">
        <v>11796</v>
      </c>
      <c r="F1582" s="31" t="n">
        <v>1770</v>
      </c>
      <c r="G1582" s="37" t="n">
        <v>0.150050864699898</v>
      </c>
    </row>
    <row r="1583" customFormat="false" ht="15" hidden="false" customHeight="false" outlineLevel="0" collapsed="false">
      <c r="A1583" s="20" t="s">
        <v>1920</v>
      </c>
      <c r="B1583" s="20" t="s">
        <v>200</v>
      </c>
      <c r="C1583" s="9" t="s">
        <v>880</v>
      </c>
      <c r="D1583" s="9" t="n">
        <v>7</v>
      </c>
      <c r="E1583" s="30" t="n">
        <v>11788</v>
      </c>
      <c r="F1583" s="30" t="n">
        <v>6216</v>
      </c>
      <c r="G1583" s="35" t="n">
        <v>0.527315914489311</v>
      </c>
    </row>
    <row r="1584" customFormat="false" ht="15" hidden="false" customHeight="false" outlineLevel="0" collapsed="false">
      <c r="A1584" s="25" t="s">
        <v>1921</v>
      </c>
      <c r="B1584" s="25" t="s">
        <v>194</v>
      </c>
      <c r="C1584" s="29" t="s">
        <v>195</v>
      </c>
      <c r="D1584" s="29" t="n">
        <v>1</v>
      </c>
      <c r="E1584" s="31" t="n">
        <v>11781</v>
      </c>
      <c r="F1584" s="31" t="n">
        <v>5837</v>
      </c>
      <c r="G1584" s="37" t="n">
        <v>0.495458789576437</v>
      </c>
    </row>
    <row r="1585" customFormat="false" ht="15" hidden="false" customHeight="false" outlineLevel="0" collapsed="false">
      <c r="A1585" s="20" t="s">
        <v>1922</v>
      </c>
      <c r="B1585" s="9" t="s">
        <v>253</v>
      </c>
      <c r="C1585" s="9" t="s">
        <v>254</v>
      </c>
      <c r="D1585" s="9" t="n">
        <v>38</v>
      </c>
      <c r="E1585" s="30" t="n">
        <v>11780</v>
      </c>
      <c r="F1585" s="30" t="n">
        <v>1764</v>
      </c>
      <c r="G1585" s="35" t="n">
        <v>0.14974533106961</v>
      </c>
    </row>
    <row r="1586" customFormat="false" ht="15" hidden="false" customHeight="false" outlineLevel="0" collapsed="false">
      <c r="A1586" s="25" t="s">
        <v>1923</v>
      </c>
      <c r="B1586" s="25" t="s">
        <v>194</v>
      </c>
      <c r="C1586" s="29" t="s">
        <v>195</v>
      </c>
      <c r="D1586" s="29" t="n">
        <v>2</v>
      </c>
      <c r="E1586" s="31" t="n">
        <v>11714</v>
      </c>
      <c r="F1586" s="31" t="n">
        <v>3018</v>
      </c>
      <c r="G1586" s="37" t="n">
        <v>0.257640430254396</v>
      </c>
    </row>
    <row r="1587" customFormat="false" ht="15" hidden="false" customHeight="false" outlineLevel="0" collapsed="false">
      <c r="A1587" s="20" t="s">
        <v>1924</v>
      </c>
      <c r="B1587" s="20" t="s">
        <v>194</v>
      </c>
      <c r="C1587" s="9" t="s">
        <v>430</v>
      </c>
      <c r="D1587" s="9" t="n">
        <v>10</v>
      </c>
      <c r="E1587" s="30" t="n">
        <v>11710</v>
      </c>
      <c r="F1587" s="30" t="n">
        <v>9600</v>
      </c>
      <c r="G1587" s="35" t="n">
        <v>0.819812126387703</v>
      </c>
    </row>
    <row r="1588" customFormat="false" ht="15" hidden="false" customHeight="false" outlineLevel="0" collapsed="false">
      <c r="A1588" s="25" t="s">
        <v>1925</v>
      </c>
      <c r="B1588" s="25" t="s">
        <v>194</v>
      </c>
      <c r="C1588" s="29" t="s">
        <v>334</v>
      </c>
      <c r="D1588" s="29" t="n">
        <v>1</v>
      </c>
      <c r="E1588" s="31" t="n">
        <v>11709</v>
      </c>
      <c r="F1588" s="31" t="n">
        <v>5324</v>
      </c>
      <c r="G1588" s="37" t="n">
        <v>0.454692971218721</v>
      </c>
    </row>
    <row r="1589" customFormat="false" ht="15" hidden="false" customHeight="false" outlineLevel="0" collapsed="false">
      <c r="A1589" s="20" t="s">
        <v>1926</v>
      </c>
      <c r="B1589" s="20" t="s">
        <v>194</v>
      </c>
      <c r="C1589" s="9" t="s">
        <v>203</v>
      </c>
      <c r="D1589" s="9" t="n">
        <v>4</v>
      </c>
      <c r="E1589" s="30" t="n">
        <v>11692</v>
      </c>
      <c r="F1589" s="30" t="n">
        <v>3284</v>
      </c>
      <c r="G1589" s="35" t="n">
        <v>0.280875812521382</v>
      </c>
    </row>
    <row r="1590" customFormat="false" ht="15" hidden="false" customHeight="false" outlineLevel="0" collapsed="false">
      <c r="A1590" s="25" t="s">
        <v>1927</v>
      </c>
      <c r="B1590" s="29" t="s">
        <v>1928</v>
      </c>
      <c r="C1590" s="29" t="s">
        <v>290</v>
      </c>
      <c r="D1590" s="29" t="n">
        <v>9</v>
      </c>
      <c r="E1590" s="31" t="n">
        <v>11691</v>
      </c>
      <c r="F1590" s="31" t="n">
        <v>4527</v>
      </c>
      <c r="G1590" s="37" t="n">
        <v>0.387220939183988</v>
      </c>
    </row>
    <row r="1591" customFormat="false" ht="15" hidden="false" customHeight="false" outlineLevel="0" collapsed="false">
      <c r="A1591" s="20" t="s">
        <v>1929</v>
      </c>
      <c r="B1591" s="20" t="s">
        <v>194</v>
      </c>
      <c r="C1591" s="9" t="s">
        <v>203</v>
      </c>
      <c r="D1591" s="9" t="n">
        <v>8</v>
      </c>
      <c r="E1591" s="30" t="n">
        <v>11680</v>
      </c>
      <c r="F1591" s="30" t="n">
        <v>1696</v>
      </c>
      <c r="G1591" s="35" t="n">
        <v>0.145205479452055</v>
      </c>
    </row>
    <row r="1592" customFormat="false" ht="15" hidden="false" customHeight="false" outlineLevel="0" collapsed="false">
      <c r="A1592" s="25" t="s">
        <v>1930</v>
      </c>
      <c r="B1592" s="25" t="s">
        <v>855</v>
      </c>
      <c r="C1592" s="29" t="s">
        <v>334</v>
      </c>
      <c r="D1592" s="29" t="n">
        <v>4</v>
      </c>
      <c r="E1592" s="31" t="n">
        <v>11676</v>
      </c>
      <c r="F1592" s="31" t="n">
        <v>1751</v>
      </c>
      <c r="G1592" s="37" t="n">
        <v>0.14996574169236</v>
      </c>
    </row>
    <row r="1593" customFormat="false" ht="15" hidden="false" customHeight="false" outlineLevel="0" collapsed="false">
      <c r="A1593" s="20" t="s">
        <v>1931</v>
      </c>
      <c r="B1593" s="20" t="s">
        <v>194</v>
      </c>
      <c r="C1593" s="9" t="s">
        <v>223</v>
      </c>
      <c r="D1593" s="9" t="n">
        <v>9</v>
      </c>
      <c r="E1593" s="30" t="n">
        <v>11673</v>
      </c>
      <c r="F1593" s="30" t="n">
        <v>3627</v>
      </c>
      <c r="G1593" s="35" t="n">
        <v>0.310717039321511</v>
      </c>
    </row>
    <row r="1594" customFormat="false" ht="15" hidden="false" customHeight="false" outlineLevel="0" collapsed="false">
      <c r="A1594" s="25" t="s">
        <v>1932</v>
      </c>
      <c r="B1594" s="25" t="s">
        <v>200</v>
      </c>
      <c r="C1594" s="29" t="s">
        <v>428</v>
      </c>
      <c r="D1594" s="29" t="n">
        <v>6</v>
      </c>
      <c r="E1594" s="31" t="n">
        <v>11634</v>
      </c>
      <c r="F1594" s="31" t="n">
        <v>7434</v>
      </c>
      <c r="G1594" s="37" t="n">
        <v>0.63898916967509</v>
      </c>
    </row>
    <row r="1595" customFormat="false" ht="15" hidden="false" customHeight="false" outlineLevel="0" collapsed="false">
      <c r="A1595" s="20" t="s">
        <v>1933</v>
      </c>
      <c r="B1595" s="9" t="s">
        <v>1262</v>
      </c>
      <c r="C1595" s="9" t="s">
        <v>428</v>
      </c>
      <c r="D1595" s="9" t="n">
        <v>12</v>
      </c>
      <c r="E1595" s="30" t="n">
        <v>11604</v>
      </c>
      <c r="F1595" s="30" t="n">
        <v>5664</v>
      </c>
      <c r="G1595" s="35" t="n">
        <v>0.488107549120993</v>
      </c>
    </row>
    <row r="1596" customFormat="false" ht="15" hidden="false" customHeight="false" outlineLevel="0" collapsed="false">
      <c r="A1596" s="25" t="s">
        <v>1934</v>
      </c>
      <c r="B1596" s="29" t="s">
        <v>1262</v>
      </c>
      <c r="C1596" s="29" t="s">
        <v>428</v>
      </c>
      <c r="D1596" s="29" t="n">
        <v>6</v>
      </c>
      <c r="E1596" s="31" t="n">
        <v>11598</v>
      </c>
      <c r="F1596" s="31" t="n">
        <v>4152</v>
      </c>
      <c r="G1596" s="37" t="n">
        <v>0.357992757371961</v>
      </c>
    </row>
    <row r="1597" customFormat="false" ht="15" hidden="false" customHeight="false" outlineLevel="0" collapsed="false">
      <c r="A1597" s="20" t="s">
        <v>1935</v>
      </c>
      <c r="B1597" s="20" t="s">
        <v>194</v>
      </c>
      <c r="C1597" s="9" t="s">
        <v>217</v>
      </c>
      <c r="D1597" s="9" t="n">
        <v>1</v>
      </c>
      <c r="E1597" s="30" t="n">
        <v>11585</v>
      </c>
      <c r="F1597" s="30" t="n">
        <v>3272</v>
      </c>
      <c r="G1597" s="35" t="n">
        <v>0.282434182132067</v>
      </c>
    </row>
    <row r="1598" customFormat="false" ht="15" hidden="false" customHeight="false" outlineLevel="0" collapsed="false">
      <c r="A1598" s="25" t="s">
        <v>1936</v>
      </c>
      <c r="B1598" s="25" t="s">
        <v>1937</v>
      </c>
      <c r="C1598" s="29" t="s">
        <v>231</v>
      </c>
      <c r="D1598" s="29" t="n">
        <v>16</v>
      </c>
      <c r="E1598" s="31" t="n">
        <v>11568</v>
      </c>
      <c r="F1598" s="31" t="n">
        <v>1736</v>
      </c>
      <c r="G1598" s="37" t="n">
        <v>0.150069156293223</v>
      </c>
    </row>
    <row r="1599" customFormat="false" ht="15" hidden="false" customHeight="false" outlineLevel="0" collapsed="false">
      <c r="A1599" s="20" t="s">
        <v>1938</v>
      </c>
      <c r="B1599" s="20" t="s">
        <v>233</v>
      </c>
      <c r="C1599" s="9" t="s">
        <v>223</v>
      </c>
      <c r="D1599" s="9" t="n">
        <v>8</v>
      </c>
      <c r="E1599" s="30" t="n">
        <v>11552</v>
      </c>
      <c r="F1599" s="30" t="n">
        <v>6640</v>
      </c>
      <c r="G1599" s="35" t="n">
        <v>0.574792243767313</v>
      </c>
    </row>
    <row r="1600" customFormat="false" ht="15" hidden="false" customHeight="false" outlineLevel="0" collapsed="false">
      <c r="A1600" s="25" t="s">
        <v>1939</v>
      </c>
      <c r="B1600" s="29" t="s">
        <v>253</v>
      </c>
      <c r="C1600" s="29" t="s">
        <v>223</v>
      </c>
      <c r="D1600" s="29" t="n">
        <v>10</v>
      </c>
      <c r="E1600" s="31" t="n">
        <v>11540</v>
      </c>
      <c r="F1600" s="31" t="n">
        <v>5440</v>
      </c>
      <c r="G1600" s="37" t="n">
        <v>0.471403812824957</v>
      </c>
    </row>
    <row r="1601" customFormat="false" ht="15" hidden="false" customHeight="false" outlineLevel="0" collapsed="false">
      <c r="A1601" s="20" t="s">
        <v>1940</v>
      </c>
      <c r="B1601" s="9" t="s">
        <v>253</v>
      </c>
      <c r="C1601" s="9" t="s">
        <v>428</v>
      </c>
      <c r="D1601" s="9" t="n">
        <v>5</v>
      </c>
      <c r="E1601" s="30" t="n">
        <v>11530</v>
      </c>
      <c r="F1601" s="30" t="n">
        <v>7030</v>
      </c>
      <c r="G1601" s="35" t="n">
        <v>0.609713790112749</v>
      </c>
    </row>
    <row r="1602" customFormat="false" ht="15" hidden="false" customHeight="false" outlineLevel="0" collapsed="false">
      <c r="A1602" s="25" t="s">
        <v>1941</v>
      </c>
      <c r="B1602" s="25" t="s">
        <v>194</v>
      </c>
      <c r="C1602" s="29" t="s">
        <v>203</v>
      </c>
      <c r="D1602" s="29" t="n">
        <v>10</v>
      </c>
      <c r="E1602" s="31" t="n">
        <v>11500</v>
      </c>
      <c r="F1602" s="31" t="n">
        <v>4790</v>
      </c>
      <c r="G1602" s="37" t="n">
        <v>0.416521739130435</v>
      </c>
    </row>
    <row r="1603" customFormat="false" ht="15" hidden="false" customHeight="false" outlineLevel="0" collapsed="false">
      <c r="A1603" s="20" t="s">
        <v>1942</v>
      </c>
      <c r="B1603" s="20" t="s">
        <v>988</v>
      </c>
      <c r="C1603" s="9" t="s">
        <v>223</v>
      </c>
      <c r="D1603" s="9" t="n">
        <v>6</v>
      </c>
      <c r="E1603" s="30" t="n">
        <v>11490</v>
      </c>
      <c r="F1603" s="30" t="n">
        <v>1722</v>
      </c>
      <c r="G1603" s="35" t="n">
        <v>0.149869451697128</v>
      </c>
    </row>
    <row r="1604" customFormat="false" ht="15" hidden="false" customHeight="false" outlineLevel="0" collapsed="false">
      <c r="A1604" s="25" t="s">
        <v>1943</v>
      </c>
      <c r="B1604" s="29" t="s">
        <v>253</v>
      </c>
      <c r="C1604" s="29" t="s">
        <v>428</v>
      </c>
      <c r="D1604" s="29" t="n">
        <v>14</v>
      </c>
      <c r="E1604" s="31" t="n">
        <v>11480</v>
      </c>
      <c r="F1604" s="31" t="n">
        <v>4648</v>
      </c>
      <c r="G1604" s="37" t="n">
        <v>0.404878048780488</v>
      </c>
    </row>
    <row r="1605" customFormat="false" ht="15" hidden="false" customHeight="false" outlineLevel="0" collapsed="false">
      <c r="A1605" s="20" t="s">
        <v>1944</v>
      </c>
      <c r="B1605" s="9" t="s">
        <v>253</v>
      </c>
      <c r="C1605" s="9" t="s">
        <v>229</v>
      </c>
      <c r="D1605" s="9" t="n">
        <v>1</v>
      </c>
      <c r="E1605" s="30" t="n">
        <v>11478</v>
      </c>
      <c r="F1605" s="30" t="n">
        <v>1722</v>
      </c>
      <c r="G1605" s="35" t="n">
        <v>0.150026136957658</v>
      </c>
    </row>
    <row r="1606" customFormat="false" ht="15" hidden="false" customHeight="false" outlineLevel="0" collapsed="false">
      <c r="A1606" s="25" t="s">
        <v>1945</v>
      </c>
      <c r="B1606" s="25" t="s">
        <v>200</v>
      </c>
      <c r="C1606" s="29" t="s">
        <v>880</v>
      </c>
      <c r="D1606" s="29" t="n">
        <v>1</v>
      </c>
      <c r="E1606" s="31" t="n">
        <v>11474</v>
      </c>
      <c r="F1606" s="31" t="n">
        <v>1721</v>
      </c>
      <c r="G1606" s="37" t="n">
        <v>0.149991284643542</v>
      </c>
    </row>
    <row r="1607" customFormat="false" ht="15" hidden="false" customHeight="false" outlineLevel="0" collapsed="false">
      <c r="A1607" s="20" t="s">
        <v>1946</v>
      </c>
      <c r="B1607" s="20" t="s">
        <v>194</v>
      </c>
      <c r="C1607" s="9" t="s">
        <v>368</v>
      </c>
      <c r="D1607" s="9" t="n">
        <v>5</v>
      </c>
      <c r="E1607" s="30" t="n">
        <v>11440</v>
      </c>
      <c r="F1607" s="30" t="n">
        <v>4055</v>
      </c>
      <c r="G1607" s="35" t="n">
        <v>0.354458041958042</v>
      </c>
    </row>
    <row r="1608" customFormat="false" ht="15" hidden="false" customHeight="false" outlineLevel="0" collapsed="false">
      <c r="A1608" s="25" t="s">
        <v>1947</v>
      </c>
      <c r="B1608" s="25" t="s">
        <v>194</v>
      </c>
      <c r="C1608" s="29" t="s">
        <v>197</v>
      </c>
      <c r="D1608" s="29" t="n">
        <v>1</v>
      </c>
      <c r="E1608" s="31" t="n">
        <v>11429</v>
      </c>
      <c r="F1608" s="31" t="n">
        <v>5520</v>
      </c>
      <c r="G1608" s="37" t="n">
        <v>0.482981888179193</v>
      </c>
    </row>
    <row r="1609" customFormat="false" ht="15" hidden="false" customHeight="false" outlineLevel="0" collapsed="false">
      <c r="A1609" s="20" t="s">
        <v>1948</v>
      </c>
      <c r="B1609" s="20" t="s">
        <v>194</v>
      </c>
      <c r="C1609" s="9" t="s">
        <v>768</v>
      </c>
      <c r="D1609" s="9" t="n">
        <v>1</v>
      </c>
      <c r="E1609" s="30" t="n">
        <v>11428</v>
      </c>
      <c r="F1609" s="30" t="n">
        <v>4000</v>
      </c>
      <c r="G1609" s="35" t="n">
        <v>0.350017500875044</v>
      </c>
    </row>
    <row r="1610" customFormat="false" ht="15" hidden="false" customHeight="false" outlineLevel="0" collapsed="false">
      <c r="A1610" s="25" t="s">
        <v>1949</v>
      </c>
      <c r="B1610" s="25" t="s">
        <v>194</v>
      </c>
      <c r="C1610" s="29" t="s">
        <v>1950</v>
      </c>
      <c r="D1610" s="29" t="n">
        <v>1</v>
      </c>
      <c r="E1610" s="31" t="n">
        <v>11408</v>
      </c>
      <c r="F1610" s="31" t="n">
        <v>6891</v>
      </c>
      <c r="G1610" s="37" t="n">
        <v>0.604049789621318</v>
      </c>
    </row>
    <row r="1611" customFormat="false" ht="15" hidden="false" customHeight="false" outlineLevel="0" collapsed="false">
      <c r="A1611" s="20" t="s">
        <v>1951</v>
      </c>
      <c r="B1611" s="20" t="s">
        <v>194</v>
      </c>
      <c r="C1611" s="9" t="s">
        <v>391</v>
      </c>
      <c r="D1611" s="9" t="n">
        <v>4</v>
      </c>
      <c r="E1611" s="30" t="n">
        <v>11380</v>
      </c>
      <c r="F1611" s="30" t="n">
        <v>856</v>
      </c>
      <c r="G1611" s="35" t="n">
        <v>0.075219683655536</v>
      </c>
    </row>
    <row r="1612" customFormat="false" ht="15" hidden="false" customHeight="false" outlineLevel="0" collapsed="false">
      <c r="A1612" s="25" t="s">
        <v>1952</v>
      </c>
      <c r="B1612" s="25" t="s">
        <v>194</v>
      </c>
      <c r="C1612" s="29" t="s">
        <v>231</v>
      </c>
      <c r="D1612" s="29" t="n">
        <v>7</v>
      </c>
      <c r="E1612" s="31" t="n">
        <v>11354</v>
      </c>
      <c r="F1612" s="31" t="n">
        <v>5985</v>
      </c>
      <c r="G1612" s="37" t="n">
        <v>0.527127003699137</v>
      </c>
    </row>
    <row r="1613" customFormat="false" ht="15" hidden="false" customHeight="false" outlineLevel="0" collapsed="false">
      <c r="A1613" s="20" t="s">
        <v>1953</v>
      </c>
      <c r="B1613" s="20" t="s">
        <v>194</v>
      </c>
      <c r="C1613" s="9" t="s">
        <v>368</v>
      </c>
      <c r="D1613" s="9" t="n">
        <v>1</v>
      </c>
      <c r="E1613" s="30" t="n">
        <v>11349</v>
      </c>
      <c r="F1613" s="30" t="n">
        <v>1702</v>
      </c>
      <c r="G1613" s="35" t="n">
        <v>0.149969160278439</v>
      </c>
    </row>
    <row r="1614" customFormat="false" ht="15" hidden="false" customHeight="false" outlineLevel="0" collapsed="false">
      <c r="A1614" s="25" t="s">
        <v>1954</v>
      </c>
      <c r="B1614" s="29" t="s">
        <v>253</v>
      </c>
      <c r="C1614" s="29" t="s">
        <v>428</v>
      </c>
      <c r="D1614" s="29" t="n">
        <v>6</v>
      </c>
      <c r="E1614" s="31" t="n">
        <v>11334</v>
      </c>
      <c r="F1614" s="31" t="n">
        <v>1062</v>
      </c>
      <c r="G1614" s="37" t="n">
        <v>0.0937003705664372</v>
      </c>
    </row>
    <row r="1615" customFormat="false" ht="15" hidden="false" customHeight="false" outlineLevel="0" collapsed="false">
      <c r="A1615" s="20" t="s">
        <v>1955</v>
      </c>
      <c r="B1615" s="20" t="s">
        <v>200</v>
      </c>
      <c r="C1615" s="9" t="s">
        <v>439</v>
      </c>
      <c r="D1615" s="9" t="n">
        <v>1</v>
      </c>
      <c r="E1615" s="30" t="n">
        <v>11326</v>
      </c>
      <c r="F1615" s="30" t="n">
        <v>1699</v>
      </c>
      <c r="G1615" s="35" t="n">
        <v>0.150008829242451</v>
      </c>
    </row>
    <row r="1616" customFormat="false" ht="15" hidden="false" customHeight="false" outlineLevel="0" collapsed="false">
      <c r="A1616" s="25" t="s">
        <v>1956</v>
      </c>
      <c r="B1616" s="29" t="s">
        <v>216</v>
      </c>
      <c r="C1616" s="29" t="s">
        <v>428</v>
      </c>
      <c r="D1616" s="29" t="n">
        <v>14</v>
      </c>
      <c r="E1616" s="31" t="n">
        <v>11312</v>
      </c>
      <c r="F1616" s="31" t="n">
        <v>6874</v>
      </c>
      <c r="G1616" s="37" t="n">
        <v>0.607673267326733</v>
      </c>
    </row>
    <row r="1617" customFormat="false" ht="15" hidden="false" customHeight="false" outlineLevel="0" collapsed="false">
      <c r="A1617" s="20" t="s">
        <v>1957</v>
      </c>
      <c r="B1617" s="20" t="s">
        <v>194</v>
      </c>
      <c r="C1617" s="9" t="s">
        <v>203</v>
      </c>
      <c r="D1617" s="9" t="n">
        <v>13</v>
      </c>
      <c r="E1617" s="30" t="n">
        <v>11310</v>
      </c>
      <c r="F1617" s="30" t="n">
        <v>3523</v>
      </c>
      <c r="G1617" s="35" t="n">
        <v>0.311494252873563</v>
      </c>
    </row>
    <row r="1618" customFormat="false" ht="15" hidden="false" customHeight="false" outlineLevel="0" collapsed="false">
      <c r="A1618" s="25" t="s">
        <v>1958</v>
      </c>
      <c r="B1618" s="29" t="s">
        <v>253</v>
      </c>
      <c r="C1618" s="29" t="s">
        <v>223</v>
      </c>
      <c r="D1618" s="29" t="n">
        <v>6</v>
      </c>
      <c r="E1618" s="31" t="n">
        <v>11208</v>
      </c>
      <c r="F1618" s="31" t="n">
        <v>1014</v>
      </c>
      <c r="G1618" s="37" t="n">
        <v>0.0904710920770878</v>
      </c>
    </row>
    <row r="1619" customFormat="false" ht="15" hidden="false" customHeight="false" outlineLevel="0" collapsed="false">
      <c r="A1619" s="20" t="s">
        <v>1959</v>
      </c>
      <c r="B1619" s="20" t="s">
        <v>200</v>
      </c>
      <c r="C1619" s="9" t="s">
        <v>229</v>
      </c>
      <c r="D1619" s="9" t="n">
        <v>2</v>
      </c>
      <c r="E1619" s="30" t="n">
        <v>11090</v>
      </c>
      <c r="F1619" s="30" t="n">
        <v>1664</v>
      </c>
      <c r="G1619" s="35" t="n">
        <v>0.150045085662759</v>
      </c>
    </row>
    <row r="1620" customFormat="false" ht="15" hidden="false" customHeight="false" outlineLevel="0" collapsed="false">
      <c r="A1620" s="25" t="s">
        <v>1960</v>
      </c>
      <c r="B1620" s="25" t="s">
        <v>240</v>
      </c>
      <c r="C1620" s="29" t="s">
        <v>229</v>
      </c>
      <c r="D1620" s="29" t="n">
        <v>1</v>
      </c>
      <c r="E1620" s="31" t="n">
        <v>11088</v>
      </c>
      <c r="F1620" s="31" t="n">
        <v>10588</v>
      </c>
      <c r="G1620" s="37" t="n">
        <v>0.954906204906205</v>
      </c>
    </row>
    <row r="1621" customFormat="false" ht="15" hidden="false" customHeight="false" outlineLevel="0" collapsed="false">
      <c r="A1621" s="20" t="s">
        <v>1961</v>
      </c>
      <c r="B1621" s="20" t="s">
        <v>194</v>
      </c>
      <c r="C1621" s="20" t="s">
        <v>373</v>
      </c>
      <c r="D1621" s="9" t="n">
        <v>1</v>
      </c>
      <c r="E1621" s="30" t="n">
        <v>11077</v>
      </c>
      <c r="F1621" s="30" t="n">
        <v>6165</v>
      </c>
      <c r="G1621" s="35" t="n">
        <v>0.556558635009479</v>
      </c>
    </row>
    <row r="1622" customFormat="false" ht="15" hidden="false" customHeight="false" outlineLevel="0" collapsed="false">
      <c r="A1622" s="25" t="s">
        <v>1962</v>
      </c>
      <c r="B1622" s="25" t="s">
        <v>194</v>
      </c>
      <c r="C1622" s="29" t="s">
        <v>195</v>
      </c>
      <c r="D1622" s="29" t="n">
        <v>1</v>
      </c>
      <c r="E1622" s="31" t="n">
        <v>10937</v>
      </c>
      <c r="F1622" s="31" t="n">
        <v>1103</v>
      </c>
      <c r="G1622" s="37" t="n">
        <v>0.100850324586267</v>
      </c>
    </row>
    <row r="1623" customFormat="false" ht="15" hidden="false" customHeight="false" outlineLevel="0" collapsed="false">
      <c r="A1623" s="20" t="s">
        <v>1963</v>
      </c>
      <c r="B1623" s="20" t="s">
        <v>194</v>
      </c>
      <c r="C1623" s="9" t="s">
        <v>334</v>
      </c>
      <c r="D1623" s="9" t="n">
        <v>16</v>
      </c>
      <c r="E1623" s="30" t="n">
        <v>10928</v>
      </c>
      <c r="F1623" s="30" t="n">
        <v>1640</v>
      </c>
      <c r="G1623" s="35" t="n">
        <v>0.150073206442167</v>
      </c>
    </row>
    <row r="1624" customFormat="false" ht="15" hidden="false" customHeight="false" outlineLevel="0" collapsed="false">
      <c r="A1624" s="25" t="s">
        <v>1964</v>
      </c>
      <c r="B1624" s="25" t="s">
        <v>332</v>
      </c>
      <c r="C1624" s="29" t="s">
        <v>368</v>
      </c>
      <c r="D1624" s="29" t="n">
        <v>14</v>
      </c>
      <c r="E1624" s="31" t="n">
        <v>10906</v>
      </c>
      <c r="F1624" s="31" t="n">
        <v>3276</v>
      </c>
      <c r="G1624" s="37" t="n">
        <v>0.300385109114249</v>
      </c>
    </row>
    <row r="1625" customFormat="false" ht="15" hidden="false" customHeight="false" outlineLevel="0" collapsed="false">
      <c r="A1625" s="20" t="s">
        <v>1965</v>
      </c>
      <c r="B1625" s="9" t="s">
        <v>253</v>
      </c>
      <c r="C1625" s="9" t="s">
        <v>254</v>
      </c>
      <c r="D1625" s="9" t="n">
        <v>3</v>
      </c>
      <c r="E1625" s="30" t="n">
        <v>10896</v>
      </c>
      <c r="F1625" s="30" t="n">
        <v>9492</v>
      </c>
      <c r="G1625" s="35" t="n">
        <v>0.871145374449339</v>
      </c>
    </row>
    <row r="1626" customFormat="false" ht="15" hidden="false" customHeight="false" outlineLevel="0" collapsed="false">
      <c r="A1626" s="25" t="s">
        <v>1966</v>
      </c>
      <c r="B1626" s="29" t="s">
        <v>253</v>
      </c>
      <c r="C1626" s="29" t="s">
        <v>229</v>
      </c>
      <c r="D1626" s="29" t="n">
        <v>1</v>
      </c>
      <c r="E1626" s="31" t="n">
        <v>10874</v>
      </c>
      <c r="F1626" s="31" t="n">
        <v>1631</v>
      </c>
      <c r="G1626" s="37" t="n">
        <v>0.149990803752069</v>
      </c>
    </row>
    <row r="1627" customFormat="false" ht="15" hidden="false" customHeight="false" outlineLevel="0" collapsed="false">
      <c r="A1627" s="20" t="s">
        <v>1967</v>
      </c>
      <c r="B1627" s="20" t="s">
        <v>194</v>
      </c>
      <c r="C1627" s="9" t="s">
        <v>368</v>
      </c>
      <c r="D1627" s="9" t="n">
        <v>8</v>
      </c>
      <c r="E1627" s="30" t="n">
        <v>10832</v>
      </c>
      <c r="F1627" s="30" t="n">
        <v>1624</v>
      </c>
      <c r="G1627" s="35" t="n">
        <v>0.149926144756278</v>
      </c>
    </row>
    <row r="1628" customFormat="false" ht="15" hidden="false" customHeight="false" outlineLevel="0" collapsed="false">
      <c r="A1628" s="25" t="s">
        <v>1968</v>
      </c>
      <c r="B1628" s="25" t="s">
        <v>194</v>
      </c>
      <c r="C1628" s="29" t="s">
        <v>368</v>
      </c>
      <c r="D1628" s="29" t="n">
        <v>8</v>
      </c>
      <c r="E1628" s="31" t="n">
        <v>10832</v>
      </c>
      <c r="F1628" s="31" t="n">
        <v>1624</v>
      </c>
      <c r="G1628" s="37" t="n">
        <v>0.149926144756278</v>
      </c>
    </row>
    <row r="1629" customFormat="false" ht="15" hidden="false" customHeight="false" outlineLevel="0" collapsed="false">
      <c r="A1629" s="20" t="s">
        <v>1969</v>
      </c>
      <c r="B1629" s="9" t="s">
        <v>253</v>
      </c>
      <c r="C1629" s="9" t="s">
        <v>223</v>
      </c>
      <c r="D1629" s="9" t="n">
        <v>1</v>
      </c>
      <c r="E1629" s="30" t="n">
        <v>10826</v>
      </c>
      <c r="F1629" s="30" t="n">
        <v>1624</v>
      </c>
      <c r="G1629" s="35" t="n">
        <v>0.150009237021984</v>
      </c>
    </row>
    <row r="1630" customFormat="false" ht="15" hidden="false" customHeight="false" outlineLevel="0" collapsed="false">
      <c r="A1630" s="25" t="s">
        <v>1970</v>
      </c>
      <c r="B1630" s="25" t="s">
        <v>194</v>
      </c>
      <c r="C1630" s="29" t="s">
        <v>209</v>
      </c>
      <c r="D1630" s="29" t="n">
        <v>5</v>
      </c>
      <c r="E1630" s="31" t="n">
        <v>10820</v>
      </c>
      <c r="F1630" s="31" t="n">
        <v>1624</v>
      </c>
      <c r="G1630" s="37" t="n">
        <v>0.150092421441774</v>
      </c>
    </row>
    <row r="1631" customFormat="false" ht="15" hidden="false" customHeight="false" outlineLevel="0" collapsed="false">
      <c r="A1631" s="20" t="s">
        <v>1971</v>
      </c>
      <c r="B1631" s="20" t="s">
        <v>240</v>
      </c>
      <c r="C1631" s="9" t="s">
        <v>368</v>
      </c>
      <c r="D1631" s="9" t="n">
        <v>4</v>
      </c>
      <c r="E1631" s="30" t="n">
        <v>10808</v>
      </c>
      <c r="F1631" s="30" t="n">
        <v>1620</v>
      </c>
      <c r="G1631" s="35" t="n">
        <v>0.149888971132494</v>
      </c>
    </row>
    <row r="1632" customFormat="false" ht="15" hidden="false" customHeight="false" outlineLevel="0" collapsed="false">
      <c r="A1632" s="25" t="s">
        <v>1972</v>
      </c>
      <c r="B1632" s="25" t="s">
        <v>1973</v>
      </c>
      <c r="C1632" s="29" t="s">
        <v>223</v>
      </c>
      <c r="D1632" s="29" t="n">
        <v>252</v>
      </c>
      <c r="E1632" s="31" t="n">
        <v>10776</v>
      </c>
      <c r="F1632" s="31" t="n">
        <v>1613</v>
      </c>
      <c r="G1632" s="37" t="n">
        <v>0.149684484038604</v>
      </c>
    </row>
    <row r="1633" customFormat="false" ht="15" hidden="false" customHeight="false" outlineLevel="0" collapsed="false">
      <c r="A1633" s="20" t="s">
        <v>1974</v>
      </c>
      <c r="B1633" s="20" t="s">
        <v>200</v>
      </c>
      <c r="C1633" s="9" t="s">
        <v>368</v>
      </c>
      <c r="D1633" s="9" t="n">
        <v>10</v>
      </c>
      <c r="E1633" s="30" t="n">
        <v>10770</v>
      </c>
      <c r="F1633" s="30" t="n">
        <v>2880</v>
      </c>
      <c r="G1633" s="35" t="n">
        <v>0.267409470752089</v>
      </c>
    </row>
    <row r="1634" customFormat="false" ht="15" hidden="false" customHeight="false" outlineLevel="0" collapsed="false">
      <c r="A1634" s="25" t="s">
        <v>1975</v>
      </c>
      <c r="B1634" s="25" t="s">
        <v>194</v>
      </c>
      <c r="C1634" s="29" t="s">
        <v>368</v>
      </c>
      <c r="D1634" s="29" t="n">
        <v>12</v>
      </c>
      <c r="E1634" s="31" t="n">
        <v>10764</v>
      </c>
      <c r="F1634" s="31" t="n">
        <v>3276</v>
      </c>
      <c r="G1634" s="37" t="n">
        <v>0.304347826086957</v>
      </c>
    </row>
    <row r="1635" customFormat="false" ht="15" hidden="false" customHeight="false" outlineLevel="0" collapsed="false">
      <c r="A1635" s="20" t="s">
        <v>1976</v>
      </c>
      <c r="B1635" s="20" t="s">
        <v>194</v>
      </c>
      <c r="C1635" s="9" t="s">
        <v>768</v>
      </c>
      <c r="D1635" s="9" t="n">
        <v>1</v>
      </c>
      <c r="E1635" s="30" t="n">
        <v>10752</v>
      </c>
      <c r="F1635" s="30" t="n">
        <v>3949</v>
      </c>
      <c r="G1635" s="35" t="n">
        <v>0.367280505952381</v>
      </c>
    </row>
    <row r="1636" customFormat="false" ht="15" hidden="false" customHeight="false" outlineLevel="0" collapsed="false">
      <c r="A1636" s="25" t="s">
        <v>1977</v>
      </c>
      <c r="B1636" s="25" t="s">
        <v>1978</v>
      </c>
      <c r="C1636" s="29" t="s">
        <v>203</v>
      </c>
      <c r="D1636" s="29" t="n">
        <v>9</v>
      </c>
      <c r="E1636" s="31" t="n">
        <v>10692</v>
      </c>
      <c r="F1636" s="31" t="n">
        <v>1602</v>
      </c>
      <c r="G1636" s="37" t="n">
        <v>0.14983164983165</v>
      </c>
    </row>
    <row r="1637" customFormat="false" ht="15" hidden="false" customHeight="false" outlineLevel="0" collapsed="false">
      <c r="A1637" s="20" t="s">
        <v>1979</v>
      </c>
      <c r="B1637" s="20" t="s">
        <v>200</v>
      </c>
      <c r="C1637" s="9" t="s">
        <v>223</v>
      </c>
      <c r="D1637" s="9" t="n">
        <v>1</v>
      </c>
      <c r="E1637" s="30" t="n">
        <v>10679</v>
      </c>
      <c r="F1637" s="30" t="n">
        <v>609</v>
      </c>
      <c r="G1637" s="35" t="n">
        <v>0.0570278115928457</v>
      </c>
    </row>
    <row r="1638" customFormat="false" ht="15" hidden="false" customHeight="false" outlineLevel="0" collapsed="false">
      <c r="A1638" s="25" t="s">
        <v>1980</v>
      </c>
      <c r="B1638" s="25" t="s">
        <v>194</v>
      </c>
      <c r="C1638" s="29" t="s">
        <v>195</v>
      </c>
      <c r="D1638" s="29" t="n">
        <v>11</v>
      </c>
      <c r="E1638" s="31" t="n">
        <v>10664</v>
      </c>
      <c r="F1638" s="31" t="n">
        <v>6165</v>
      </c>
      <c r="G1638" s="37" t="n">
        <v>0.57811327831958</v>
      </c>
    </row>
    <row r="1639" customFormat="false" ht="15" hidden="false" customHeight="false" outlineLevel="0" collapsed="false">
      <c r="A1639" s="20" t="s">
        <v>1981</v>
      </c>
      <c r="B1639" s="20" t="s">
        <v>194</v>
      </c>
      <c r="C1639" s="9" t="s">
        <v>209</v>
      </c>
      <c r="D1639" s="9" t="n">
        <v>8</v>
      </c>
      <c r="E1639" s="30" t="n">
        <v>10648</v>
      </c>
      <c r="F1639" s="30" t="n">
        <v>5336</v>
      </c>
      <c r="G1639" s="35" t="n">
        <v>0.501126972201352</v>
      </c>
    </row>
    <row r="1640" customFormat="false" ht="15" hidden="false" customHeight="false" outlineLevel="0" collapsed="false">
      <c r="A1640" s="25" t="s">
        <v>1982</v>
      </c>
      <c r="B1640" s="29"/>
      <c r="C1640" s="29" t="s">
        <v>428</v>
      </c>
      <c r="D1640" s="29" t="n">
        <v>1</v>
      </c>
      <c r="E1640" s="31" t="n">
        <v>10626</v>
      </c>
      <c r="F1640" s="31" t="n">
        <v>2356</v>
      </c>
      <c r="G1640" s="37" t="n">
        <v>0.22172030867683</v>
      </c>
    </row>
    <row r="1641" customFormat="false" ht="15" hidden="false" customHeight="false" outlineLevel="0" collapsed="false">
      <c r="A1641" s="20" t="s">
        <v>1983</v>
      </c>
      <c r="B1641" s="9" t="s">
        <v>1290</v>
      </c>
      <c r="C1641" s="9" t="s">
        <v>209</v>
      </c>
      <c r="D1641" s="9" t="n">
        <v>60</v>
      </c>
      <c r="E1641" s="30" t="n">
        <v>10620</v>
      </c>
      <c r="F1641" s="30" t="n">
        <v>1595</v>
      </c>
      <c r="G1641" s="35" t="n">
        <v>0.150188323917138</v>
      </c>
    </row>
    <row r="1642" customFormat="false" ht="15" hidden="false" customHeight="false" outlineLevel="0" collapsed="false">
      <c r="A1642" s="25" t="s">
        <v>1984</v>
      </c>
      <c r="B1642" s="25" t="s">
        <v>194</v>
      </c>
      <c r="C1642" s="29" t="s">
        <v>368</v>
      </c>
      <c r="D1642" s="29" t="n">
        <v>1</v>
      </c>
      <c r="E1642" s="31" t="n">
        <v>10566</v>
      </c>
      <c r="F1642" s="31" t="n">
        <v>1585</v>
      </c>
      <c r="G1642" s="37" t="n">
        <v>0.150009464319515</v>
      </c>
    </row>
    <row r="1643" customFormat="false" ht="15" hidden="false" customHeight="false" outlineLevel="0" collapsed="false">
      <c r="A1643" s="20" t="s">
        <v>1985</v>
      </c>
      <c r="B1643" s="9" t="s">
        <v>1986</v>
      </c>
      <c r="C1643" s="9" t="s">
        <v>290</v>
      </c>
      <c r="D1643" s="9" t="n">
        <v>20</v>
      </c>
      <c r="E1643" s="30" t="n">
        <v>10520</v>
      </c>
      <c r="F1643" s="30" t="n">
        <v>-2480</v>
      </c>
      <c r="G1643" s="35" t="n">
        <v>-0.23574144486692</v>
      </c>
    </row>
    <row r="1644" customFormat="false" ht="15" hidden="false" customHeight="false" outlineLevel="0" collapsed="false">
      <c r="A1644" s="25" t="s">
        <v>1987</v>
      </c>
      <c r="B1644" s="25" t="s">
        <v>1264</v>
      </c>
      <c r="C1644" s="29" t="s">
        <v>391</v>
      </c>
      <c r="D1644" s="29" t="n">
        <v>1</v>
      </c>
      <c r="E1644" s="31" t="n">
        <v>10482</v>
      </c>
      <c r="F1644" s="31" t="n">
        <v>1572</v>
      </c>
      <c r="G1644" s="37" t="n">
        <v>0.149971379507728</v>
      </c>
    </row>
    <row r="1645" customFormat="false" ht="15" hidden="false" customHeight="false" outlineLevel="0" collapsed="false">
      <c r="A1645" s="20" t="s">
        <v>1988</v>
      </c>
      <c r="B1645" s="20" t="s">
        <v>220</v>
      </c>
      <c r="C1645" s="9" t="s">
        <v>217</v>
      </c>
      <c r="D1645" s="9" t="n">
        <v>20</v>
      </c>
      <c r="E1645" s="30" t="n">
        <v>10460</v>
      </c>
      <c r="F1645" s="30" t="n">
        <v>7460</v>
      </c>
      <c r="G1645" s="35" t="n">
        <v>0.713193116634799</v>
      </c>
    </row>
    <row r="1646" customFormat="false" ht="15" hidden="false" customHeight="false" outlineLevel="0" collapsed="false">
      <c r="A1646" s="25" t="s">
        <v>1989</v>
      </c>
      <c r="B1646" s="25" t="s">
        <v>200</v>
      </c>
      <c r="C1646" s="29" t="s">
        <v>297</v>
      </c>
      <c r="D1646" s="29" t="n">
        <v>3</v>
      </c>
      <c r="E1646" s="31" t="n">
        <v>10434</v>
      </c>
      <c r="F1646" s="31" t="n">
        <v>6222</v>
      </c>
      <c r="G1646" s="37" t="n">
        <v>0.596319723979298</v>
      </c>
    </row>
    <row r="1647" customFormat="false" ht="15" hidden="false" customHeight="false" outlineLevel="0" collapsed="false">
      <c r="A1647" s="20" t="s">
        <v>1990</v>
      </c>
      <c r="B1647" s="9" t="s">
        <v>253</v>
      </c>
      <c r="C1647" s="9" t="s">
        <v>254</v>
      </c>
      <c r="D1647" s="9" t="n">
        <v>25</v>
      </c>
      <c r="E1647" s="30" t="n">
        <v>10425</v>
      </c>
      <c r="F1647" s="30" t="n">
        <v>3075</v>
      </c>
      <c r="G1647" s="35" t="n">
        <v>0.294964028776978</v>
      </c>
    </row>
    <row r="1648" customFormat="false" ht="15" hidden="false" customHeight="false" outlineLevel="0" collapsed="false">
      <c r="A1648" s="25" t="s">
        <v>1991</v>
      </c>
      <c r="B1648" s="29" t="s">
        <v>253</v>
      </c>
      <c r="C1648" s="29" t="s">
        <v>254</v>
      </c>
      <c r="D1648" s="29" t="n">
        <v>25</v>
      </c>
      <c r="E1648" s="31" t="n">
        <v>10425</v>
      </c>
      <c r="F1648" s="31" t="n">
        <v>3075</v>
      </c>
      <c r="G1648" s="37" t="n">
        <v>0.294964028776978</v>
      </c>
    </row>
    <row r="1649" customFormat="false" ht="15" hidden="false" customHeight="false" outlineLevel="0" collapsed="false">
      <c r="A1649" s="20" t="s">
        <v>1992</v>
      </c>
      <c r="B1649" s="9" t="s">
        <v>253</v>
      </c>
      <c r="C1649" s="9" t="s">
        <v>254</v>
      </c>
      <c r="D1649" s="9" t="n">
        <v>25</v>
      </c>
      <c r="E1649" s="30" t="n">
        <v>10425</v>
      </c>
      <c r="F1649" s="30" t="n">
        <v>3075</v>
      </c>
      <c r="G1649" s="35" t="n">
        <v>0.294964028776978</v>
      </c>
    </row>
    <row r="1650" customFormat="false" ht="15" hidden="false" customHeight="false" outlineLevel="0" collapsed="false">
      <c r="A1650" s="25" t="s">
        <v>1993</v>
      </c>
      <c r="B1650" s="25" t="s">
        <v>194</v>
      </c>
      <c r="C1650" s="29" t="s">
        <v>334</v>
      </c>
      <c r="D1650" s="29" t="n">
        <v>4</v>
      </c>
      <c r="E1650" s="31" t="n">
        <v>10424</v>
      </c>
      <c r="F1650" s="31" t="n">
        <v>1892</v>
      </c>
      <c r="G1650" s="37" t="n">
        <v>0.181504221028396</v>
      </c>
    </row>
    <row r="1651" customFormat="false" ht="15" hidden="false" customHeight="false" outlineLevel="0" collapsed="false">
      <c r="A1651" s="20" t="s">
        <v>1994</v>
      </c>
      <c r="B1651" s="20" t="s">
        <v>194</v>
      </c>
      <c r="C1651" s="9" t="s">
        <v>203</v>
      </c>
      <c r="D1651" s="9" t="n">
        <v>2</v>
      </c>
      <c r="E1651" s="30" t="n">
        <v>10410</v>
      </c>
      <c r="F1651" s="30" t="n">
        <v>-60</v>
      </c>
      <c r="G1651" s="35" t="n">
        <v>-0.0057636887608069</v>
      </c>
    </row>
    <row r="1652" customFormat="false" ht="15" hidden="false" customHeight="false" outlineLevel="0" collapsed="false">
      <c r="A1652" s="25" t="s">
        <v>1995</v>
      </c>
      <c r="B1652" s="29" t="s">
        <v>253</v>
      </c>
      <c r="C1652" s="29" t="s">
        <v>439</v>
      </c>
      <c r="D1652" s="29" t="n">
        <v>5</v>
      </c>
      <c r="E1652" s="31" t="n">
        <v>10370</v>
      </c>
      <c r="F1652" s="31" t="n">
        <v>1555</v>
      </c>
      <c r="G1652" s="37" t="n">
        <v>0.149951783992285</v>
      </c>
    </row>
    <row r="1653" customFormat="false" ht="15" hidden="false" customHeight="false" outlineLevel="0" collapsed="false">
      <c r="A1653" s="20" t="s">
        <v>1996</v>
      </c>
      <c r="B1653" s="20" t="s">
        <v>194</v>
      </c>
      <c r="C1653" s="9" t="s">
        <v>682</v>
      </c>
      <c r="D1653" s="9" t="n">
        <v>2</v>
      </c>
      <c r="E1653" s="30" t="n">
        <v>10354</v>
      </c>
      <c r="F1653" s="30" t="n">
        <v>1554</v>
      </c>
      <c r="G1653" s="35" t="n">
        <v>0.150086922928337</v>
      </c>
    </row>
    <row r="1654" customFormat="false" ht="15" hidden="false" customHeight="false" outlineLevel="0" collapsed="false">
      <c r="A1654" s="25" t="s">
        <v>1997</v>
      </c>
      <c r="B1654" s="25" t="s">
        <v>194</v>
      </c>
      <c r="C1654" s="29" t="s">
        <v>203</v>
      </c>
      <c r="D1654" s="29" t="n">
        <v>4</v>
      </c>
      <c r="E1654" s="31" t="n">
        <v>10352</v>
      </c>
      <c r="F1654" s="31" t="n">
        <v>1552</v>
      </c>
      <c r="G1654" s="37" t="n">
        <v>0.149922720247295</v>
      </c>
    </row>
    <row r="1655" customFormat="false" ht="15" hidden="false" customHeight="false" outlineLevel="0" collapsed="false">
      <c r="A1655" s="20" t="s">
        <v>1998</v>
      </c>
      <c r="B1655" s="9" t="s">
        <v>253</v>
      </c>
      <c r="C1655" s="9" t="s">
        <v>428</v>
      </c>
      <c r="D1655" s="9" t="n">
        <v>10</v>
      </c>
      <c r="E1655" s="30" t="n">
        <v>10340</v>
      </c>
      <c r="F1655" s="30" t="n">
        <v>5170</v>
      </c>
      <c r="G1655" s="35" t="n">
        <v>0.5</v>
      </c>
    </row>
    <row r="1656" customFormat="false" ht="15" hidden="false" customHeight="false" outlineLevel="0" collapsed="false">
      <c r="A1656" s="25" t="s">
        <v>1999</v>
      </c>
      <c r="B1656" s="29" t="s">
        <v>253</v>
      </c>
      <c r="C1656" s="29" t="s">
        <v>229</v>
      </c>
      <c r="D1656" s="29" t="n">
        <v>2</v>
      </c>
      <c r="E1656" s="31" t="n">
        <v>10330</v>
      </c>
      <c r="F1656" s="31" t="n">
        <v>2866</v>
      </c>
      <c r="G1656" s="37" t="n">
        <v>0.277444336882865</v>
      </c>
    </row>
    <row r="1657" customFormat="false" ht="15" hidden="false" customHeight="false" outlineLevel="0" collapsed="false">
      <c r="A1657" s="20" t="s">
        <v>2000</v>
      </c>
      <c r="B1657" s="9" t="s">
        <v>253</v>
      </c>
      <c r="C1657" s="9" t="s">
        <v>1885</v>
      </c>
      <c r="D1657" s="9" t="n">
        <v>4</v>
      </c>
      <c r="E1657" s="30" t="n">
        <v>10312</v>
      </c>
      <c r="F1657" s="30" t="n">
        <v>1546</v>
      </c>
      <c r="G1657" s="35" t="n">
        <v>0.149922420480993</v>
      </c>
    </row>
    <row r="1658" customFormat="false" ht="15" hidden="false" customHeight="false" outlineLevel="0" collapsed="false">
      <c r="A1658" s="25" t="s">
        <v>2001</v>
      </c>
      <c r="B1658" s="29" t="s">
        <v>1262</v>
      </c>
      <c r="C1658" s="29" t="s">
        <v>428</v>
      </c>
      <c r="D1658" s="29" t="n">
        <v>4</v>
      </c>
      <c r="E1658" s="31" t="n">
        <v>10312</v>
      </c>
      <c r="F1658" s="31" t="n">
        <v>6544</v>
      </c>
      <c r="G1658" s="37" t="n">
        <v>0.634600465477114</v>
      </c>
    </row>
    <row r="1659" customFormat="false" ht="15" hidden="false" customHeight="false" outlineLevel="0" collapsed="false">
      <c r="A1659" s="20" t="s">
        <v>2002</v>
      </c>
      <c r="B1659" s="20" t="s">
        <v>194</v>
      </c>
      <c r="C1659" s="9" t="s">
        <v>223</v>
      </c>
      <c r="D1659" s="9" t="n">
        <v>2</v>
      </c>
      <c r="E1659" s="30" t="n">
        <v>10254</v>
      </c>
      <c r="F1659" s="30" t="n">
        <v>1538</v>
      </c>
      <c r="G1659" s="35" t="n">
        <v>0.149990247708211</v>
      </c>
    </row>
    <row r="1660" customFormat="false" ht="15" hidden="false" customHeight="false" outlineLevel="0" collapsed="false">
      <c r="A1660" s="25" t="s">
        <v>2003</v>
      </c>
      <c r="B1660" s="25" t="s">
        <v>194</v>
      </c>
      <c r="C1660" s="29" t="s">
        <v>203</v>
      </c>
      <c r="D1660" s="29" t="n">
        <v>9</v>
      </c>
      <c r="E1660" s="31" t="n">
        <v>10233</v>
      </c>
      <c r="F1660" s="31" t="n">
        <v>1116</v>
      </c>
      <c r="G1660" s="37" t="n">
        <v>0.10905892700088</v>
      </c>
    </row>
    <row r="1661" customFormat="false" ht="15" hidden="false" customHeight="false" outlineLevel="0" collapsed="false">
      <c r="A1661" s="20" t="s">
        <v>2004</v>
      </c>
      <c r="B1661" s="20" t="s">
        <v>194</v>
      </c>
      <c r="C1661" s="9" t="s">
        <v>229</v>
      </c>
      <c r="D1661" s="9" t="n">
        <v>5</v>
      </c>
      <c r="E1661" s="30" t="n">
        <v>10215</v>
      </c>
      <c r="F1661" s="30" t="n">
        <v>3870</v>
      </c>
      <c r="G1661" s="35" t="n">
        <v>0.378854625550661</v>
      </c>
    </row>
    <row r="1662" customFormat="false" ht="15" hidden="false" customHeight="false" outlineLevel="0" collapsed="false">
      <c r="A1662" s="25" t="s">
        <v>2005</v>
      </c>
      <c r="B1662" s="25" t="s">
        <v>194</v>
      </c>
      <c r="C1662" s="29" t="s">
        <v>223</v>
      </c>
      <c r="D1662" s="29" t="n">
        <v>3</v>
      </c>
      <c r="E1662" s="31" t="n">
        <v>10200</v>
      </c>
      <c r="F1662" s="31" t="n">
        <v>5115</v>
      </c>
      <c r="G1662" s="37" t="n">
        <v>0.501470588235294</v>
      </c>
    </row>
    <row r="1663" customFormat="false" ht="15" hidden="false" customHeight="false" outlineLevel="0" collapsed="false">
      <c r="A1663" s="20" t="s">
        <v>2006</v>
      </c>
      <c r="B1663" s="9" t="s">
        <v>253</v>
      </c>
      <c r="C1663" s="9" t="s">
        <v>223</v>
      </c>
      <c r="D1663" s="9" t="n">
        <v>3</v>
      </c>
      <c r="E1663" s="30" t="n">
        <v>10200</v>
      </c>
      <c r="F1663" s="30" t="n">
        <v>1530</v>
      </c>
      <c r="G1663" s="35" t="n">
        <v>0.15</v>
      </c>
    </row>
    <row r="1664" customFormat="false" ht="15" hidden="false" customHeight="false" outlineLevel="0" collapsed="false">
      <c r="A1664" s="25" t="s">
        <v>2007</v>
      </c>
      <c r="B1664" s="29" t="s">
        <v>216</v>
      </c>
      <c r="C1664" s="29" t="s">
        <v>428</v>
      </c>
      <c r="D1664" s="29" t="n">
        <v>3</v>
      </c>
      <c r="E1664" s="31" t="n">
        <v>10200</v>
      </c>
      <c r="F1664" s="31" t="n">
        <v>1200</v>
      </c>
      <c r="G1664" s="37" t="n">
        <v>0.117647058823529</v>
      </c>
    </row>
    <row r="1665" customFormat="false" ht="15" hidden="false" customHeight="false" outlineLevel="0" collapsed="false">
      <c r="A1665" s="20" t="s">
        <v>2008</v>
      </c>
      <c r="B1665" s="9" t="s">
        <v>253</v>
      </c>
      <c r="C1665" s="9" t="s">
        <v>2009</v>
      </c>
      <c r="D1665" s="9" t="n">
        <v>5</v>
      </c>
      <c r="E1665" s="30" t="n">
        <v>10155</v>
      </c>
      <c r="F1665" s="30" t="n">
        <v>1523</v>
      </c>
      <c r="G1665" s="35" t="n">
        <v>0.149975381585426</v>
      </c>
    </row>
    <row r="1666" customFormat="false" ht="15" hidden="false" customHeight="false" outlineLevel="0" collapsed="false">
      <c r="A1666" s="25" t="s">
        <v>2010</v>
      </c>
      <c r="B1666" s="25" t="s">
        <v>194</v>
      </c>
      <c r="C1666" s="29" t="s">
        <v>231</v>
      </c>
      <c r="D1666" s="29" t="n">
        <v>1</v>
      </c>
      <c r="E1666" s="31" t="n">
        <v>10137</v>
      </c>
      <c r="F1666" s="31" t="n">
        <v>4774</v>
      </c>
      <c r="G1666" s="37" t="n">
        <v>0.470948012232416</v>
      </c>
    </row>
    <row r="1667" customFormat="false" ht="15" hidden="false" customHeight="false" outlineLevel="0" collapsed="false">
      <c r="A1667" s="20" t="s">
        <v>2011</v>
      </c>
      <c r="B1667" s="20" t="s">
        <v>194</v>
      </c>
      <c r="C1667" s="9" t="s">
        <v>223</v>
      </c>
      <c r="D1667" s="9" t="n">
        <v>1</v>
      </c>
      <c r="E1667" s="30" t="n">
        <v>10130</v>
      </c>
      <c r="F1667" s="30" t="n">
        <v>1519</v>
      </c>
      <c r="G1667" s="35" t="n">
        <v>0.14995064165844</v>
      </c>
    </row>
    <row r="1668" customFormat="false" ht="15" hidden="false" customHeight="false" outlineLevel="0" collapsed="false">
      <c r="A1668" s="25" t="s">
        <v>2012</v>
      </c>
      <c r="B1668" s="29" t="s">
        <v>253</v>
      </c>
      <c r="C1668" s="29" t="s">
        <v>355</v>
      </c>
      <c r="D1668" s="29" t="n">
        <v>8</v>
      </c>
      <c r="E1668" s="31" t="n">
        <v>10128</v>
      </c>
      <c r="F1668" s="31" t="n">
        <v>2198</v>
      </c>
      <c r="G1668" s="37" t="n">
        <v>0.217022116903634</v>
      </c>
    </row>
    <row r="1669" customFormat="false" ht="15" hidden="false" customHeight="false" outlineLevel="0" collapsed="false">
      <c r="A1669" s="20" t="s">
        <v>2013</v>
      </c>
      <c r="B1669" s="9" t="s">
        <v>2014</v>
      </c>
      <c r="C1669" s="9" t="s">
        <v>368</v>
      </c>
      <c r="D1669" s="9" t="n">
        <v>810</v>
      </c>
      <c r="E1669" s="30" t="n">
        <v>10124</v>
      </c>
      <c r="F1669" s="30" t="n">
        <v>7694</v>
      </c>
      <c r="G1669" s="35" t="n">
        <v>0.759976293954959</v>
      </c>
    </row>
    <row r="1670" customFormat="false" ht="15" hidden="false" customHeight="false" outlineLevel="0" collapsed="false">
      <c r="A1670" s="25" t="s">
        <v>2015</v>
      </c>
      <c r="B1670" s="25" t="s">
        <v>194</v>
      </c>
      <c r="C1670" s="25" t="s">
        <v>373</v>
      </c>
      <c r="D1670" s="29" t="n">
        <v>1</v>
      </c>
      <c r="E1670" s="31" t="n">
        <v>10118</v>
      </c>
      <c r="F1670" s="31" t="n">
        <v>5555</v>
      </c>
      <c r="G1670" s="37" t="n">
        <v>0.549021545760032</v>
      </c>
    </row>
    <row r="1671" customFormat="false" ht="15" hidden="false" customHeight="false" outlineLevel="0" collapsed="false">
      <c r="A1671" s="20" t="s">
        <v>2016</v>
      </c>
      <c r="B1671" s="20" t="s">
        <v>194</v>
      </c>
      <c r="C1671" s="9" t="s">
        <v>334</v>
      </c>
      <c r="D1671" s="9" t="n">
        <v>14</v>
      </c>
      <c r="E1671" s="30" t="n">
        <v>10084</v>
      </c>
      <c r="F1671" s="30" t="n">
        <v>3084</v>
      </c>
      <c r="G1671" s="35" t="n">
        <v>0.305831019436731</v>
      </c>
    </row>
    <row r="1672" customFormat="false" ht="15" hidden="false" customHeight="false" outlineLevel="0" collapsed="false">
      <c r="A1672" s="25" t="s">
        <v>2017</v>
      </c>
      <c r="B1672" s="29" t="s">
        <v>253</v>
      </c>
      <c r="C1672" s="29" t="s">
        <v>428</v>
      </c>
      <c r="D1672" s="29" t="n">
        <v>6</v>
      </c>
      <c r="E1672" s="31" t="n">
        <v>10080</v>
      </c>
      <c r="F1672" s="31" t="n">
        <v>7530</v>
      </c>
      <c r="G1672" s="37" t="n">
        <v>0.74702380952381</v>
      </c>
    </row>
    <row r="1673" customFormat="false" ht="15" hidden="false" customHeight="false" outlineLevel="0" collapsed="false">
      <c r="A1673" s="20" t="s">
        <v>2018</v>
      </c>
      <c r="B1673" s="9" t="s">
        <v>253</v>
      </c>
      <c r="C1673" s="9" t="s">
        <v>355</v>
      </c>
      <c r="D1673" s="9" t="n">
        <v>18</v>
      </c>
      <c r="E1673" s="30" t="n">
        <v>10044</v>
      </c>
      <c r="F1673" s="30" t="n">
        <v>9180</v>
      </c>
      <c r="G1673" s="35" t="n">
        <v>0.913978494623656</v>
      </c>
    </row>
    <row r="1674" customFormat="false" ht="15" hidden="false" customHeight="false" outlineLevel="0" collapsed="false">
      <c r="A1674" s="25" t="s">
        <v>2019</v>
      </c>
      <c r="B1674" s="29" t="s">
        <v>253</v>
      </c>
      <c r="C1674" s="29" t="s">
        <v>223</v>
      </c>
      <c r="D1674" s="29" t="n">
        <v>5</v>
      </c>
      <c r="E1674" s="31" t="n">
        <v>10025</v>
      </c>
      <c r="F1674" s="31" t="n">
        <v>5940</v>
      </c>
      <c r="G1674" s="37" t="n">
        <v>0.592518703241895</v>
      </c>
    </row>
    <row r="1675" customFormat="false" ht="15" hidden="false" customHeight="false" outlineLevel="0" collapsed="false">
      <c r="A1675" s="20" t="s">
        <v>2020</v>
      </c>
      <c r="B1675" s="9" t="s">
        <v>1262</v>
      </c>
      <c r="C1675" s="9" t="s">
        <v>428</v>
      </c>
      <c r="D1675" s="9" t="n">
        <v>5</v>
      </c>
      <c r="E1675" s="30" t="n">
        <v>10005</v>
      </c>
      <c r="F1675" s="30" t="n">
        <v>6405</v>
      </c>
      <c r="G1675" s="35" t="n">
        <v>0.640179910044978</v>
      </c>
    </row>
    <row r="1676" customFormat="false" ht="15" hidden="false" customHeight="false" outlineLevel="0" collapsed="false">
      <c r="A1676" s="25" t="s">
        <v>2021</v>
      </c>
      <c r="B1676" s="25" t="s">
        <v>1199</v>
      </c>
      <c r="C1676" s="29" t="s">
        <v>334</v>
      </c>
      <c r="D1676" s="29" t="n">
        <v>2000</v>
      </c>
      <c r="E1676" s="31" t="n">
        <v>10000</v>
      </c>
      <c r="F1676" s="31" t="n">
        <v>1500</v>
      </c>
      <c r="G1676" s="37" t="n">
        <v>0.15</v>
      </c>
    </row>
    <row r="1677" customFormat="false" ht="15" hidden="false" customHeight="false" outlineLevel="0" collapsed="false">
      <c r="A1677" s="20" t="s">
        <v>2022</v>
      </c>
      <c r="B1677" s="20" t="s">
        <v>194</v>
      </c>
      <c r="C1677" s="9" t="s">
        <v>2023</v>
      </c>
      <c r="D1677" s="9" t="n">
        <v>200</v>
      </c>
      <c r="E1677" s="30" t="n">
        <v>10000</v>
      </c>
      <c r="F1677" s="30" t="n">
        <v>1500</v>
      </c>
      <c r="G1677" s="35" t="n">
        <v>0.15</v>
      </c>
    </row>
    <row r="1678" customFormat="false" ht="15" hidden="false" customHeight="false" outlineLevel="0" collapsed="false">
      <c r="A1678" s="25" t="s">
        <v>2024</v>
      </c>
      <c r="B1678" s="25" t="s">
        <v>194</v>
      </c>
      <c r="C1678" s="29" t="s">
        <v>2023</v>
      </c>
      <c r="D1678" s="29" t="n">
        <v>200</v>
      </c>
      <c r="E1678" s="31" t="n">
        <v>10000</v>
      </c>
      <c r="F1678" s="31" t="n">
        <v>1500</v>
      </c>
      <c r="G1678" s="37" t="n">
        <v>0.15</v>
      </c>
    </row>
    <row r="1679" customFormat="false" ht="15" hidden="false" customHeight="false" outlineLevel="0" collapsed="false">
      <c r="A1679" s="20" t="s">
        <v>2025</v>
      </c>
      <c r="B1679" s="20" t="s">
        <v>194</v>
      </c>
      <c r="C1679" s="9" t="s">
        <v>2023</v>
      </c>
      <c r="D1679" s="9" t="n">
        <v>200</v>
      </c>
      <c r="E1679" s="30" t="n">
        <v>10000</v>
      </c>
      <c r="F1679" s="30" t="n">
        <v>1500</v>
      </c>
      <c r="G1679" s="35" t="n">
        <v>0.15</v>
      </c>
    </row>
    <row r="1680" customFormat="false" ht="15" hidden="false" customHeight="false" outlineLevel="0" collapsed="false">
      <c r="A1680" s="25" t="s">
        <v>2026</v>
      </c>
      <c r="B1680" s="25" t="s">
        <v>194</v>
      </c>
      <c r="C1680" s="29" t="s">
        <v>428</v>
      </c>
      <c r="D1680" s="29" t="n">
        <v>1</v>
      </c>
      <c r="E1680" s="31" t="n">
        <v>10000</v>
      </c>
      <c r="F1680" s="31" t="n">
        <v>4534</v>
      </c>
      <c r="G1680" s="37" t="n">
        <v>0.4534</v>
      </c>
    </row>
    <row r="1681" customFormat="false" ht="15" hidden="false" customHeight="false" outlineLevel="0" collapsed="false">
      <c r="A1681" s="20" t="s">
        <v>2027</v>
      </c>
      <c r="B1681" s="20" t="s">
        <v>194</v>
      </c>
      <c r="C1681" s="9" t="s">
        <v>380</v>
      </c>
      <c r="D1681" s="9" t="n">
        <v>4</v>
      </c>
      <c r="E1681" s="30" t="n">
        <v>9992</v>
      </c>
      <c r="F1681" s="30" t="n">
        <v>1498</v>
      </c>
      <c r="G1681" s="35" t="n">
        <v>0.149919935948759</v>
      </c>
    </row>
    <row r="1682" customFormat="false" ht="15" hidden="false" customHeight="false" outlineLevel="0" collapsed="false">
      <c r="A1682" s="25" t="s">
        <v>2028</v>
      </c>
      <c r="B1682" s="29" t="s">
        <v>216</v>
      </c>
      <c r="C1682" s="29" t="s">
        <v>223</v>
      </c>
      <c r="D1682" s="29" t="n">
        <v>3</v>
      </c>
      <c r="E1682" s="31" t="n">
        <v>9954</v>
      </c>
      <c r="F1682" s="31" t="n">
        <v>2088</v>
      </c>
      <c r="G1682" s="37" t="n">
        <v>0.209764918625678</v>
      </c>
    </row>
    <row r="1683" customFormat="false" ht="15" hidden="false" customHeight="false" outlineLevel="0" collapsed="false">
      <c r="A1683" s="20" t="s">
        <v>2029</v>
      </c>
      <c r="B1683" s="20" t="s">
        <v>194</v>
      </c>
      <c r="C1683" s="9" t="s">
        <v>203</v>
      </c>
      <c r="D1683" s="9" t="n">
        <v>4</v>
      </c>
      <c r="E1683" s="30" t="n">
        <v>9952</v>
      </c>
      <c r="F1683" s="30" t="n">
        <v>1491</v>
      </c>
      <c r="G1683" s="35" t="n">
        <v>0.149819131832797</v>
      </c>
    </row>
    <row r="1684" customFormat="false" ht="15" hidden="false" customHeight="false" outlineLevel="0" collapsed="false">
      <c r="A1684" s="25" t="s">
        <v>2030</v>
      </c>
      <c r="B1684" s="29" t="s">
        <v>253</v>
      </c>
      <c r="C1684" s="29" t="s">
        <v>428</v>
      </c>
      <c r="D1684" s="29" t="n">
        <v>4</v>
      </c>
      <c r="E1684" s="31" t="n">
        <v>9912</v>
      </c>
      <c r="F1684" s="31" t="n">
        <v>3472</v>
      </c>
      <c r="G1684" s="37" t="n">
        <v>0.350282485875706</v>
      </c>
    </row>
    <row r="1685" customFormat="false" ht="15" hidden="false" customHeight="false" outlineLevel="0" collapsed="false">
      <c r="A1685" s="20" t="s">
        <v>2031</v>
      </c>
      <c r="B1685" s="20" t="s">
        <v>194</v>
      </c>
      <c r="C1685" s="9" t="s">
        <v>334</v>
      </c>
      <c r="D1685" s="9" t="n">
        <v>4</v>
      </c>
      <c r="E1685" s="30" t="n">
        <v>9908</v>
      </c>
      <c r="F1685" s="30" t="n">
        <v>3788</v>
      </c>
      <c r="G1685" s="35" t="n">
        <v>0.382317319337909</v>
      </c>
    </row>
    <row r="1686" customFormat="false" ht="15" hidden="false" customHeight="false" outlineLevel="0" collapsed="false">
      <c r="A1686" s="25" t="s">
        <v>2032</v>
      </c>
      <c r="B1686" s="25" t="s">
        <v>1264</v>
      </c>
      <c r="C1686" s="29" t="s">
        <v>391</v>
      </c>
      <c r="D1686" s="29" t="n">
        <v>1</v>
      </c>
      <c r="E1686" s="31" t="n">
        <v>9902</v>
      </c>
      <c r="F1686" s="31" t="n">
        <v>4053</v>
      </c>
      <c r="G1686" s="37" t="n">
        <v>0.409311250252474</v>
      </c>
    </row>
    <row r="1687" customFormat="false" ht="15" hidden="false" customHeight="false" outlineLevel="0" collapsed="false">
      <c r="A1687" s="20" t="s">
        <v>2033</v>
      </c>
      <c r="B1687" s="20" t="s">
        <v>1616</v>
      </c>
      <c r="C1687" s="9" t="s">
        <v>880</v>
      </c>
      <c r="D1687" s="9" t="n">
        <v>1</v>
      </c>
      <c r="E1687" s="30" t="n">
        <v>9892</v>
      </c>
      <c r="F1687" s="30" t="n">
        <v>1441</v>
      </c>
      <c r="G1687" s="35" t="n">
        <v>0.145673271330368</v>
      </c>
    </row>
    <row r="1688" customFormat="false" ht="15" hidden="false" customHeight="false" outlineLevel="0" collapsed="false">
      <c r="A1688" s="25" t="s">
        <v>2034</v>
      </c>
      <c r="B1688" s="25" t="s">
        <v>200</v>
      </c>
      <c r="C1688" s="29" t="s">
        <v>223</v>
      </c>
      <c r="D1688" s="29" t="n">
        <v>6</v>
      </c>
      <c r="E1688" s="31" t="n">
        <v>9882</v>
      </c>
      <c r="F1688" s="31" t="n">
        <v>1194</v>
      </c>
      <c r="G1688" s="37" t="n">
        <v>0.120825743776563</v>
      </c>
    </row>
    <row r="1689" customFormat="false" ht="15" hidden="false" customHeight="false" outlineLevel="0" collapsed="false">
      <c r="A1689" s="20" t="s">
        <v>2035</v>
      </c>
      <c r="B1689" s="20" t="s">
        <v>194</v>
      </c>
      <c r="C1689" s="9" t="s">
        <v>485</v>
      </c>
      <c r="D1689" s="9" t="n">
        <v>2</v>
      </c>
      <c r="E1689" s="30" t="n">
        <v>9856</v>
      </c>
      <c r="F1689" s="30" t="n">
        <v>3624</v>
      </c>
      <c r="G1689" s="35" t="n">
        <v>0.367694805194805</v>
      </c>
    </row>
    <row r="1690" customFormat="false" ht="15" hidden="false" customHeight="false" outlineLevel="0" collapsed="false">
      <c r="A1690" s="25" t="s">
        <v>2036</v>
      </c>
      <c r="B1690" s="25" t="s">
        <v>194</v>
      </c>
      <c r="C1690" s="29" t="s">
        <v>485</v>
      </c>
      <c r="D1690" s="29" t="n">
        <v>1</v>
      </c>
      <c r="E1690" s="31" t="n">
        <v>9854</v>
      </c>
      <c r="F1690" s="31" t="n">
        <v>4439</v>
      </c>
      <c r="G1690" s="37" t="n">
        <v>0.450476963669576</v>
      </c>
    </row>
    <row r="1691" customFormat="false" ht="15" hidden="false" customHeight="false" outlineLevel="0" collapsed="false">
      <c r="A1691" s="20" t="s">
        <v>2037</v>
      </c>
      <c r="B1691" s="9" t="s">
        <v>253</v>
      </c>
      <c r="C1691" s="9" t="s">
        <v>229</v>
      </c>
      <c r="D1691" s="9" t="n">
        <v>1</v>
      </c>
      <c r="E1691" s="30" t="n">
        <v>9853</v>
      </c>
      <c r="F1691" s="30" t="n">
        <v>1478</v>
      </c>
      <c r="G1691" s="35" t="n">
        <v>0.15000507459657</v>
      </c>
    </row>
    <row r="1692" customFormat="false" ht="15" hidden="false" customHeight="false" outlineLevel="0" collapsed="false">
      <c r="A1692" s="25" t="s">
        <v>2038</v>
      </c>
      <c r="B1692" s="25" t="s">
        <v>200</v>
      </c>
      <c r="C1692" s="29" t="s">
        <v>355</v>
      </c>
      <c r="D1692" s="29" t="n">
        <v>1</v>
      </c>
      <c r="E1692" s="31" t="n">
        <v>9850</v>
      </c>
      <c r="F1692" s="31" t="n">
        <v>1477</v>
      </c>
      <c r="G1692" s="37" t="n">
        <v>0.14994923857868</v>
      </c>
    </row>
    <row r="1693" customFormat="false" ht="15" hidden="false" customHeight="false" outlineLevel="0" collapsed="false">
      <c r="A1693" s="20" t="s">
        <v>2039</v>
      </c>
      <c r="B1693" s="20" t="s">
        <v>220</v>
      </c>
      <c r="C1693" s="9" t="s">
        <v>217</v>
      </c>
      <c r="D1693" s="9" t="n">
        <v>20</v>
      </c>
      <c r="E1693" s="30" t="n">
        <v>9840</v>
      </c>
      <c r="F1693" s="30" t="n">
        <v>5220</v>
      </c>
      <c r="G1693" s="35" t="n">
        <v>0.530487804878049</v>
      </c>
    </row>
    <row r="1694" customFormat="false" ht="15" hidden="false" customHeight="false" outlineLevel="0" collapsed="false">
      <c r="A1694" s="25" t="s">
        <v>2040</v>
      </c>
      <c r="B1694" s="25" t="s">
        <v>240</v>
      </c>
      <c r="C1694" s="29" t="s">
        <v>297</v>
      </c>
      <c r="D1694" s="29" t="n">
        <v>2</v>
      </c>
      <c r="E1694" s="31" t="n">
        <v>9808</v>
      </c>
      <c r="F1694" s="31" t="n">
        <v>1472</v>
      </c>
      <c r="G1694" s="37" t="n">
        <v>0.150081566068516</v>
      </c>
    </row>
    <row r="1695" customFormat="false" ht="15" hidden="false" customHeight="false" outlineLevel="0" collapsed="false">
      <c r="A1695" s="20" t="s">
        <v>2041</v>
      </c>
      <c r="B1695" s="20" t="s">
        <v>194</v>
      </c>
      <c r="C1695" s="9" t="s">
        <v>203</v>
      </c>
      <c r="D1695" s="9" t="n">
        <v>1</v>
      </c>
      <c r="E1695" s="30" t="n">
        <v>9806</v>
      </c>
      <c r="F1695" s="30" t="n">
        <v>3424</v>
      </c>
      <c r="G1695" s="35" t="n">
        <v>0.349173975117275</v>
      </c>
    </row>
    <row r="1696" customFormat="false" ht="15" hidden="false" customHeight="false" outlineLevel="0" collapsed="false">
      <c r="A1696" s="25" t="s">
        <v>2042</v>
      </c>
      <c r="B1696" s="25" t="s">
        <v>194</v>
      </c>
      <c r="C1696" s="29" t="s">
        <v>203</v>
      </c>
      <c r="D1696" s="29" t="n">
        <v>4</v>
      </c>
      <c r="E1696" s="31" t="n">
        <v>9804</v>
      </c>
      <c r="F1696" s="31" t="n">
        <v>1472</v>
      </c>
      <c r="G1696" s="37" t="n">
        <v>0.150142798857609</v>
      </c>
    </row>
    <row r="1697" customFormat="false" ht="15" hidden="false" customHeight="false" outlineLevel="0" collapsed="false">
      <c r="A1697" s="20" t="s">
        <v>2043</v>
      </c>
      <c r="B1697" s="20" t="s">
        <v>891</v>
      </c>
      <c r="C1697" s="9" t="s">
        <v>297</v>
      </c>
      <c r="D1697" s="9" t="n">
        <v>2</v>
      </c>
      <c r="E1697" s="30" t="n">
        <v>9762</v>
      </c>
      <c r="F1697" s="30" t="n">
        <v>1464</v>
      </c>
      <c r="G1697" s="35" t="n">
        <v>0.149969268592502</v>
      </c>
    </row>
    <row r="1698" customFormat="false" ht="15" hidden="false" customHeight="false" outlineLevel="0" collapsed="false">
      <c r="A1698" s="25" t="s">
        <v>2044</v>
      </c>
      <c r="B1698" s="25" t="s">
        <v>240</v>
      </c>
      <c r="C1698" s="29" t="s">
        <v>634</v>
      </c>
      <c r="D1698" s="29" t="n">
        <v>7</v>
      </c>
      <c r="E1698" s="31" t="n">
        <v>9728</v>
      </c>
      <c r="F1698" s="31" t="n">
        <v>1458</v>
      </c>
      <c r="G1698" s="37" t="n">
        <v>0.149876644736842</v>
      </c>
    </row>
    <row r="1699" customFormat="false" ht="15" hidden="false" customHeight="false" outlineLevel="0" collapsed="false">
      <c r="A1699" s="20" t="s">
        <v>2045</v>
      </c>
      <c r="B1699" s="20" t="s">
        <v>855</v>
      </c>
      <c r="C1699" s="9" t="s">
        <v>334</v>
      </c>
      <c r="D1699" s="9" t="n">
        <v>4</v>
      </c>
      <c r="E1699" s="30" t="n">
        <v>9724</v>
      </c>
      <c r="F1699" s="30" t="n">
        <v>1459</v>
      </c>
      <c r="G1699" s="35" t="n">
        <v>0.150041135335253</v>
      </c>
    </row>
    <row r="1700" customFormat="false" ht="15" hidden="false" customHeight="false" outlineLevel="0" collapsed="false">
      <c r="A1700" s="25" t="s">
        <v>2046</v>
      </c>
      <c r="B1700" s="29" t="s">
        <v>1290</v>
      </c>
      <c r="C1700" s="29" t="s">
        <v>209</v>
      </c>
      <c r="D1700" s="29" t="n">
        <v>60</v>
      </c>
      <c r="E1700" s="31" t="n">
        <v>9720</v>
      </c>
      <c r="F1700" s="31" t="n">
        <v>1458</v>
      </c>
      <c r="G1700" s="37" t="n">
        <v>0.15</v>
      </c>
    </row>
    <row r="1701" customFormat="false" ht="15" hidden="false" customHeight="false" outlineLevel="0" collapsed="false">
      <c r="A1701" s="20" t="s">
        <v>2047</v>
      </c>
      <c r="B1701" s="20" t="s">
        <v>194</v>
      </c>
      <c r="C1701" s="9" t="s">
        <v>258</v>
      </c>
      <c r="D1701" s="9" t="n">
        <v>4</v>
      </c>
      <c r="E1701" s="30" t="n">
        <v>9712</v>
      </c>
      <c r="F1701" s="30" t="n">
        <v>1456</v>
      </c>
      <c r="G1701" s="35" t="n">
        <v>0.1499176276771</v>
      </c>
    </row>
    <row r="1702" customFormat="false" ht="15" hidden="false" customHeight="false" outlineLevel="0" collapsed="false">
      <c r="A1702" s="25" t="s">
        <v>2048</v>
      </c>
      <c r="B1702" s="25" t="s">
        <v>200</v>
      </c>
      <c r="C1702" s="29" t="s">
        <v>1009</v>
      </c>
      <c r="D1702" s="29" t="n">
        <v>2</v>
      </c>
      <c r="E1702" s="31" t="n">
        <v>9704</v>
      </c>
      <c r="F1702" s="31" t="n">
        <v>1456</v>
      </c>
      <c r="G1702" s="37" t="n">
        <v>0.150041220115416</v>
      </c>
    </row>
    <row r="1703" customFormat="false" ht="15" hidden="false" customHeight="false" outlineLevel="0" collapsed="false">
      <c r="A1703" s="20" t="s">
        <v>2049</v>
      </c>
      <c r="B1703" s="9" t="s">
        <v>1262</v>
      </c>
      <c r="C1703" s="9" t="s">
        <v>428</v>
      </c>
      <c r="D1703" s="9" t="n">
        <v>5</v>
      </c>
      <c r="E1703" s="30" t="n">
        <v>9700</v>
      </c>
      <c r="F1703" s="30" t="n">
        <v>2320</v>
      </c>
      <c r="G1703" s="35" t="n">
        <v>0.239175257731959</v>
      </c>
    </row>
    <row r="1704" customFormat="false" ht="15" hidden="false" customHeight="false" outlineLevel="0" collapsed="false">
      <c r="A1704" s="25" t="s">
        <v>2050</v>
      </c>
      <c r="B1704" s="25" t="s">
        <v>200</v>
      </c>
      <c r="C1704" s="29" t="s">
        <v>297</v>
      </c>
      <c r="D1704" s="29" t="n">
        <v>1</v>
      </c>
      <c r="E1704" s="31" t="n">
        <v>9695</v>
      </c>
      <c r="F1704" s="31" t="n">
        <v>4095</v>
      </c>
      <c r="G1704" s="37" t="n">
        <v>0.422382671480144</v>
      </c>
    </row>
    <row r="1705" customFormat="false" ht="15" hidden="false" customHeight="false" outlineLevel="0" collapsed="false">
      <c r="A1705" s="20" t="s">
        <v>2051</v>
      </c>
      <c r="B1705" s="20" t="s">
        <v>240</v>
      </c>
      <c r="C1705" s="9" t="s">
        <v>368</v>
      </c>
      <c r="D1705" s="9" t="n">
        <v>4</v>
      </c>
      <c r="E1705" s="30" t="n">
        <v>9688</v>
      </c>
      <c r="F1705" s="30" t="n">
        <v>1452</v>
      </c>
      <c r="G1705" s="35" t="n">
        <v>0.149876135425268</v>
      </c>
    </row>
    <row r="1706" customFormat="false" ht="15" hidden="false" customHeight="false" outlineLevel="0" collapsed="false">
      <c r="A1706" s="25" t="s">
        <v>2052</v>
      </c>
      <c r="B1706" s="25" t="s">
        <v>194</v>
      </c>
      <c r="C1706" s="29" t="s">
        <v>231</v>
      </c>
      <c r="D1706" s="29" t="n">
        <v>4</v>
      </c>
      <c r="E1706" s="31" t="n">
        <v>9676</v>
      </c>
      <c r="F1706" s="31" t="n">
        <v>1452</v>
      </c>
      <c r="G1706" s="37" t="n">
        <v>0.150062009094667</v>
      </c>
    </row>
    <row r="1707" customFormat="false" ht="15" hidden="false" customHeight="false" outlineLevel="0" collapsed="false">
      <c r="A1707" s="20" t="s">
        <v>2053</v>
      </c>
      <c r="B1707" s="20" t="s">
        <v>194</v>
      </c>
      <c r="C1707" s="9" t="s">
        <v>203</v>
      </c>
      <c r="D1707" s="9" t="n">
        <v>13</v>
      </c>
      <c r="E1707" s="30" t="n">
        <v>9672</v>
      </c>
      <c r="F1707" s="30" t="n">
        <v>1456</v>
      </c>
      <c r="G1707" s="35" t="n">
        <v>0.150537634408602</v>
      </c>
    </row>
    <row r="1708" customFormat="false" ht="15" hidden="false" customHeight="false" outlineLevel="0" collapsed="false">
      <c r="A1708" s="25" t="s">
        <v>2054</v>
      </c>
      <c r="B1708" s="25" t="s">
        <v>194</v>
      </c>
      <c r="C1708" s="29" t="s">
        <v>203</v>
      </c>
      <c r="D1708" s="29" t="n">
        <v>10</v>
      </c>
      <c r="E1708" s="31" t="n">
        <v>9650</v>
      </c>
      <c r="F1708" s="31" t="n">
        <v>5640</v>
      </c>
      <c r="G1708" s="37" t="n">
        <v>0.584455958549223</v>
      </c>
    </row>
    <row r="1709" customFormat="false" ht="15" hidden="false" customHeight="false" outlineLevel="0" collapsed="false">
      <c r="A1709" s="20" t="s">
        <v>2055</v>
      </c>
      <c r="B1709" s="9" t="s">
        <v>253</v>
      </c>
      <c r="C1709" s="9" t="s">
        <v>223</v>
      </c>
      <c r="D1709" s="9" t="n">
        <v>2</v>
      </c>
      <c r="E1709" s="30" t="n">
        <v>9642</v>
      </c>
      <c r="F1709" s="30" t="n">
        <v>1446</v>
      </c>
      <c r="G1709" s="35" t="n">
        <v>0.149968886123211</v>
      </c>
    </row>
    <row r="1710" customFormat="false" ht="15" hidden="false" customHeight="false" outlineLevel="0" collapsed="false">
      <c r="A1710" s="25" t="s">
        <v>2056</v>
      </c>
      <c r="B1710" s="29" t="s">
        <v>1262</v>
      </c>
      <c r="C1710" s="29" t="s">
        <v>428</v>
      </c>
      <c r="D1710" s="29" t="n">
        <v>5</v>
      </c>
      <c r="E1710" s="31" t="n">
        <v>9630</v>
      </c>
      <c r="F1710" s="31" t="n">
        <v>5365</v>
      </c>
      <c r="G1710" s="37" t="n">
        <v>0.557113187954309</v>
      </c>
    </row>
    <row r="1711" customFormat="false" ht="15" hidden="false" customHeight="false" outlineLevel="0" collapsed="false">
      <c r="A1711" s="20" t="s">
        <v>2057</v>
      </c>
      <c r="B1711" s="9" t="s">
        <v>253</v>
      </c>
      <c r="C1711" s="9" t="s">
        <v>428</v>
      </c>
      <c r="D1711" s="9" t="n">
        <v>5</v>
      </c>
      <c r="E1711" s="30" t="n">
        <v>9620</v>
      </c>
      <c r="F1711" s="30" t="n">
        <v>4625</v>
      </c>
      <c r="G1711" s="35" t="n">
        <v>0.480769230769231</v>
      </c>
    </row>
    <row r="1712" customFormat="false" ht="15" hidden="false" customHeight="false" outlineLevel="0" collapsed="false">
      <c r="A1712" s="25" t="s">
        <v>2058</v>
      </c>
      <c r="B1712" s="25" t="s">
        <v>194</v>
      </c>
      <c r="C1712" s="29" t="s">
        <v>217</v>
      </c>
      <c r="D1712" s="29" t="n">
        <v>1</v>
      </c>
      <c r="E1712" s="31" t="n">
        <v>9605</v>
      </c>
      <c r="F1712" s="31" t="n">
        <v>1639</v>
      </c>
      <c r="G1712" s="37" t="n">
        <v>0.170640291514836</v>
      </c>
    </row>
    <row r="1713" customFormat="false" ht="15" hidden="false" customHeight="false" outlineLevel="0" collapsed="false">
      <c r="A1713" s="20" t="s">
        <v>2059</v>
      </c>
      <c r="B1713" s="9" t="s">
        <v>253</v>
      </c>
      <c r="C1713" s="9" t="s">
        <v>229</v>
      </c>
      <c r="D1713" s="9" t="n">
        <v>1</v>
      </c>
      <c r="E1713" s="30" t="n">
        <v>9598</v>
      </c>
      <c r="F1713" s="30" t="n">
        <v>1440</v>
      </c>
      <c r="G1713" s="35" t="n">
        <v>0.150031256511773</v>
      </c>
    </row>
    <row r="1714" customFormat="false" ht="15" hidden="false" customHeight="false" outlineLevel="0" collapsed="false">
      <c r="A1714" s="25" t="s">
        <v>2060</v>
      </c>
      <c r="B1714" s="25" t="s">
        <v>194</v>
      </c>
      <c r="C1714" s="29" t="s">
        <v>485</v>
      </c>
      <c r="D1714" s="29" t="n">
        <v>2</v>
      </c>
      <c r="E1714" s="31" t="n">
        <v>9580</v>
      </c>
      <c r="F1714" s="31" t="n">
        <v>4222</v>
      </c>
      <c r="G1714" s="37" t="n">
        <v>0.44070981210856</v>
      </c>
    </row>
    <row r="1715" customFormat="false" ht="15" hidden="false" customHeight="false" outlineLevel="0" collapsed="false">
      <c r="A1715" s="20" t="s">
        <v>2061</v>
      </c>
      <c r="B1715" s="9" t="s">
        <v>2062</v>
      </c>
      <c r="C1715" s="9" t="s">
        <v>290</v>
      </c>
      <c r="D1715" s="9" t="n">
        <v>2</v>
      </c>
      <c r="E1715" s="30" t="n">
        <v>9580</v>
      </c>
      <c r="F1715" s="30" t="n">
        <v>3580</v>
      </c>
      <c r="G1715" s="35" t="n">
        <v>0.373695198329854</v>
      </c>
    </row>
    <row r="1716" customFormat="false" ht="15" hidden="false" customHeight="false" outlineLevel="0" collapsed="false">
      <c r="A1716" s="25" t="s">
        <v>2063</v>
      </c>
      <c r="B1716" s="25" t="s">
        <v>194</v>
      </c>
      <c r="C1716" s="29" t="s">
        <v>334</v>
      </c>
      <c r="D1716" s="29" t="n">
        <v>4</v>
      </c>
      <c r="E1716" s="31" t="n">
        <v>9540</v>
      </c>
      <c r="F1716" s="31" t="n">
        <v>6804</v>
      </c>
      <c r="G1716" s="37" t="n">
        <v>0.713207547169811</v>
      </c>
    </row>
    <row r="1717" customFormat="false" ht="15" hidden="false" customHeight="false" outlineLevel="0" collapsed="false">
      <c r="A1717" s="20" t="s">
        <v>2064</v>
      </c>
      <c r="B1717" s="9" t="s">
        <v>1262</v>
      </c>
      <c r="C1717" s="9" t="s">
        <v>428</v>
      </c>
      <c r="D1717" s="9" t="n">
        <v>5</v>
      </c>
      <c r="E1717" s="30" t="n">
        <v>9530</v>
      </c>
      <c r="F1717" s="30" t="n">
        <v>5380</v>
      </c>
      <c r="G1717" s="35" t="n">
        <v>0.564533053515215</v>
      </c>
    </row>
    <row r="1718" customFormat="false" ht="15" hidden="false" customHeight="false" outlineLevel="0" collapsed="false">
      <c r="A1718" s="25" t="s">
        <v>2065</v>
      </c>
      <c r="B1718" s="25" t="s">
        <v>194</v>
      </c>
      <c r="C1718" s="29" t="s">
        <v>1183</v>
      </c>
      <c r="D1718" s="29" t="n">
        <v>1</v>
      </c>
      <c r="E1718" s="31" t="n">
        <v>9529</v>
      </c>
      <c r="F1718" s="31" t="n">
        <v>2187</v>
      </c>
      <c r="G1718" s="37" t="n">
        <v>0.229509917095183</v>
      </c>
    </row>
    <row r="1719" customFormat="false" ht="15" hidden="false" customHeight="false" outlineLevel="0" collapsed="false">
      <c r="A1719" s="20" t="s">
        <v>2066</v>
      </c>
      <c r="B1719" s="20" t="s">
        <v>194</v>
      </c>
      <c r="C1719" s="9" t="s">
        <v>203</v>
      </c>
      <c r="D1719" s="9" t="n">
        <v>2</v>
      </c>
      <c r="E1719" s="30" t="n">
        <v>9510</v>
      </c>
      <c r="F1719" s="30" t="n">
        <v>3664</v>
      </c>
      <c r="G1719" s="35" t="n">
        <v>0.38527865404837</v>
      </c>
    </row>
    <row r="1720" customFormat="false" ht="15" hidden="false" customHeight="false" outlineLevel="0" collapsed="false">
      <c r="A1720" s="25" t="s">
        <v>2067</v>
      </c>
      <c r="B1720" s="25" t="s">
        <v>1264</v>
      </c>
      <c r="C1720" s="29" t="s">
        <v>391</v>
      </c>
      <c r="D1720" s="29" t="n">
        <v>1</v>
      </c>
      <c r="E1720" s="31" t="n">
        <v>9486</v>
      </c>
      <c r="F1720" s="31" t="n">
        <v>1423</v>
      </c>
      <c r="G1720" s="37" t="n">
        <v>0.150010541851149</v>
      </c>
    </row>
    <row r="1721" customFormat="false" ht="15" hidden="false" customHeight="false" outlineLevel="0" collapsed="false">
      <c r="A1721" s="20" t="s">
        <v>2068</v>
      </c>
      <c r="B1721" s="20" t="s">
        <v>194</v>
      </c>
      <c r="C1721" s="9" t="s">
        <v>334</v>
      </c>
      <c r="D1721" s="9" t="n">
        <v>4</v>
      </c>
      <c r="E1721" s="30" t="n">
        <v>9452</v>
      </c>
      <c r="F1721" s="30" t="n">
        <v>-912</v>
      </c>
      <c r="G1721" s="35" t="n">
        <v>-0.0964875158696572</v>
      </c>
    </row>
    <row r="1722" customFormat="false" ht="15" hidden="false" customHeight="false" outlineLevel="0" collapsed="false">
      <c r="A1722" s="25" t="s">
        <v>2069</v>
      </c>
      <c r="B1722" s="25" t="s">
        <v>194</v>
      </c>
      <c r="C1722" s="29" t="s">
        <v>223</v>
      </c>
      <c r="D1722" s="29" t="n">
        <v>3</v>
      </c>
      <c r="E1722" s="31" t="n">
        <v>9444</v>
      </c>
      <c r="F1722" s="31" t="n">
        <v>1416</v>
      </c>
      <c r="G1722" s="37" t="n">
        <v>0.149936467598475</v>
      </c>
    </row>
    <row r="1723" customFormat="false" ht="15" hidden="false" customHeight="false" outlineLevel="0" collapsed="false">
      <c r="A1723" s="20" t="s">
        <v>2070</v>
      </c>
      <c r="B1723" s="9" t="s">
        <v>216</v>
      </c>
      <c r="C1723" s="9" t="s">
        <v>428</v>
      </c>
      <c r="D1723" s="9" t="n">
        <v>3</v>
      </c>
      <c r="E1723" s="30" t="n">
        <v>9426</v>
      </c>
      <c r="F1723" s="30" t="n">
        <v>3594</v>
      </c>
      <c r="G1723" s="35" t="n">
        <v>0.381285805219605</v>
      </c>
    </row>
    <row r="1724" customFormat="false" ht="15" hidden="false" customHeight="false" outlineLevel="0" collapsed="false">
      <c r="A1724" s="25" t="s">
        <v>2071</v>
      </c>
      <c r="B1724" s="29" t="s">
        <v>253</v>
      </c>
      <c r="C1724" s="29" t="s">
        <v>622</v>
      </c>
      <c r="D1724" s="29" t="n">
        <v>7</v>
      </c>
      <c r="E1724" s="31" t="n">
        <v>9415</v>
      </c>
      <c r="F1724" s="31" t="n">
        <v>1412</v>
      </c>
      <c r="G1724" s="37" t="n">
        <v>0.149973446627722</v>
      </c>
    </row>
    <row r="1725" customFormat="false" ht="15" hidden="false" customHeight="false" outlineLevel="0" collapsed="false">
      <c r="A1725" s="20" t="s">
        <v>2072</v>
      </c>
      <c r="B1725" s="9" t="s">
        <v>253</v>
      </c>
      <c r="C1725" s="9" t="s">
        <v>428</v>
      </c>
      <c r="D1725" s="9" t="n">
        <v>2</v>
      </c>
      <c r="E1725" s="30" t="n">
        <v>9412</v>
      </c>
      <c r="F1725" s="30" t="n">
        <v>1692</v>
      </c>
      <c r="G1725" s="35" t="n">
        <v>0.179770505737357</v>
      </c>
    </row>
    <row r="1726" customFormat="false" ht="15" hidden="false" customHeight="false" outlineLevel="0" collapsed="false">
      <c r="A1726" s="25" t="s">
        <v>2073</v>
      </c>
      <c r="B1726" s="25" t="s">
        <v>194</v>
      </c>
      <c r="C1726" s="29" t="s">
        <v>203</v>
      </c>
      <c r="D1726" s="29" t="n">
        <v>9</v>
      </c>
      <c r="E1726" s="31" t="n">
        <v>9405</v>
      </c>
      <c r="F1726" s="31" t="n">
        <v>5958</v>
      </c>
      <c r="G1726" s="37" t="n">
        <v>0.633492822966507</v>
      </c>
    </row>
    <row r="1727" customFormat="false" ht="15" hidden="false" customHeight="false" outlineLevel="0" collapsed="false">
      <c r="A1727" s="20" t="s">
        <v>2074</v>
      </c>
      <c r="B1727" s="9" t="s">
        <v>281</v>
      </c>
      <c r="C1727" s="9" t="s">
        <v>195</v>
      </c>
      <c r="D1727" s="9" t="n">
        <v>1</v>
      </c>
      <c r="E1727" s="30" t="n">
        <v>9384</v>
      </c>
      <c r="F1727" s="30" t="n">
        <v>-1635</v>
      </c>
      <c r="G1727" s="35" t="n">
        <v>-0.17423273657289</v>
      </c>
    </row>
    <row r="1728" customFormat="false" ht="15" hidden="false" customHeight="false" outlineLevel="0" collapsed="false">
      <c r="A1728" s="25" t="s">
        <v>2075</v>
      </c>
      <c r="B1728" s="25" t="s">
        <v>194</v>
      </c>
      <c r="C1728" s="29" t="s">
        <v>203</v>
      </c>
      <c r="D1728" s="29" t="n">
        <v>5</v>
      </c>
      <c r="E1728" s="31" t="n">
        <v>9350</v>
      </c>
      <c r="F1728" s="31" t="n">
        <v>1400</v>
      </c>
      <c r="G1728" s="37" t="n">
        <v>0.149732620320856</v>
      </c>
    </row>
    <row r="1729" customFormat="false" ht="15" hidden="false" customHeight="false" outlineLevel="0" collapsed="false">
      <c r="A1729" s="20" t="s">
        <v>2076</v>
      </c>
      <c r="B1729" s="20" t="s">
        <v>194</v>
      </c>
      <c r="C1729" s="9" t="s">
        <v>203</v>
      </c>
      <c r="D1729" s="9" t="n">
        <v>3</v>
      </c>
      <c r="E1729" s="30" t="n">
        <v>9312</v>
      </c>
      <c r="F1729" s="30" t="n">
        <v>3768</v>
      </c>
      <c r="G1729" s="35" t="n">
        <v>0.404639175257732</v>
      </c>
    </row>
    <row r="1730" customFormat="false" ht="15" hidden="false" customHeight="false" outlineLevel="0" collapsed="false">
      <c r="A1730" s="25" t="s">
        <v>2077</v>
      </c>
      <c r="B1730" s="29" t="s">
        <v>253</v>
      </c>
      <c r="C1730" s="29" t="s">
        <v>355</v>
      </c>
      <c r="D1730" s="29" t="n">
        <v>21</v>
      </c>
      <c r="E1730" s="31" t="n">
        <v>9282</v>
      </c>
      <c r="F1730" s="31" t="n">
        <v>567</v>
      </c>
      <c r="G1730" s="37" t="n">
        <v>0.0610859728506787</v>
      </c>
    </row>
    <row r="1731" customFormat="false" ht="15" hidden="false" customHeight="false" outlineLevel="0" collapsed="false">
      <c r="A1731" s="20" t="s">
        <v>2078</v>
      </c>
      <c r="B1731" s="20" t="s">
        <v>194</v>
      </c>
      <c r="C1731" s="9" t="s">
        <v>1183</v>
      </c>
      <c r="D1731" s="9" t="n">
        <v>1</v>
      </c>
      <c r="E1731" s="30" t="n">
        <v>9270</v>
      </c>
      <c r="F1731" s="30" t="n">
        <v>2688</v>
      </c>
      <c r="G1731" s="35" t="n">
        <v>0.289967637540453</v>
      </c>
    </row>
    <row r="1732" customFormat="false" ht="15" hidden="false" customHeight="false" outlineLevel="0" collapsed="false">
      <c r="A1732" s="25" t="s">
        <v>2079</v>
      </c>
      <c r="B1732" s="25" t="s">
        <v>1264</v>
      </c>
      <c r="C1732" s="29" t="s">
        <v>391</v>
      </c>
      <c r="D1732" s="29" t="n">
        <v>1</v>
      </c>
      <c r="E1732" s="31" t="n">
        <v>9258</v>
      </c>
      <c r="F1732" s="31" t="n">
        <v>1389</v>
      </c>
      <c r="G1732" s="37" t="n">
        <v>0.150032404406999</v>
      </c>
    </row>
    <row r="1733" customFormat="false" ht="15" hidden="false" customHeight="false" outlineLevel="0" collapsed="false">
      <c r="A1733" s="20" t="s">
        <v>2080</v>
      </c>
      <c r="B1733" s="9" t="s">
        <v>2081</v>
      </c>
      <c r="C1733" s="9" t="s">
        <v>290</v>
      </c>
      <c r="D1733" s="9" t="n">
        <v>3</v>
      </c>
      <c r="E1733" s="30" t="n">
        <v>9207</v>
      </c>
      <c r="F1733" s="30" t="n">
        <v>1059</v>
      </c>
      <c r="G1733" s="35" t="n">
        <v>0.115021179537309</v>
      </c>
    </row>
    <row r="1734" customFormat="false" ht="15" hidden="false" customHeight="false" outlineLevel="0" collapsed="false">
      <c r="A1734" s="25" t="s">
        <v>2082</v>
      </c>
      <c r="B1734" s="25" t="s">
        <v>891</v>
      </c>
      <c r="C1734" s="29" t="s">
        <v>297</v>
      </c>
      <c r="D1734" s="29" t="n">
        <v>2</v>
      </c>
      <c r="E1734" s="31" t="n">
        <v>9194</v>
      </c>
      <c r="F1734" s="31" t="n">
        <v>1380</v>
      </c>
      <c r="G1734" s="37" t="n">
        <v>0.150097889928214</v>
      </c>
    </row>
    <row r="1735" customFormat="false" ht="15" hidden="false" customHeight="false" outlineLevel="0" collapsed="false">
      <c r="A1735" s="20" t="s">
        <v>2083</v>
      </c>
      <c r="B1735" s="20" t="s">
        <v>200</v>
      </c>
      <c r="C1735" s="9" t="s">
        <v>880</v>
      </c>
      <c r="D1735" s="9" t="n">
        <v>1</v>
      </c>
      <c r="E1735" s="30" t="n">
        <v>9164</v>
      </c>
      <c r="F1735" s="30" t="n">
        <v>7564</v>
      </c>
      <c r="G1735" s="35" t="n">
        <v>0.825403753819293</v>
      </c>
    </row>
    <row r="1736" customFormat="false" ht="15" hidden="false" customHeight="false" outlineLevel="0" collapsed="false">
      <c r="A1736" s="25" t="s">
        <v>2084</v>
      </c>
      <c r="B1736" s="25" t="s">
        <v>194</v>
      </c>
      <c r="C1736" s="29" t="s">
        <v>203</v>
      </c>
      <c r="D1736" s="29" t="n">
        <v>11</v>
      </c>
      <c r="E1736" s="31" t="n">
        <v>9148</v>
      </c>
      <c r="F1736" s="31" t="n">
        <v>1376</v>
      </c>
      <c r="G1736" s="37" t="n">
        <v>0.15041539134237</v>
      </c>
    </row>
    <row r="1737" customFormat="false" ht="15" hidden="false" customHeight="false" outlineLevel="0" collapsed="false">
      <c r="A1737" s="20" t="s">
        <v>2085</v>
      </c>
      <c r="B1737" s="20" t="s">
        <v>194</v>
      </c>
      <c r="C1737" s="9" t="s">
        <v>485</v>
      </c>
      <c r="D1737" s="9" t="n">
        <v>1</v>
      </c>
      <c r="E1737" s="30" t="n">
        <v>9129</v>
      </c>
      <c r="F1737" s="30" t="n">
        <v>2516</v>
      </c>
      <c r="G1737" s="35" t="n">
        <v>0.2756052141527</v>
      </c>
    </row>
    <row r="1738" customFormat="false" ht="15" hidden="false" customHeight="false" outlineLevel="0" collapsed="false">
      <c r="A1738" s="25" t="s">
        <v>2086</v>
      </c>
      <c r="B1738" s="25" t="s">
        <v>194</v>
      </c>
      <c r="C1738" s="29" t="s">
        <v>203</v>
      </c>
      <c r="D1738" s="29" t="n">
        <v>2</v>
      </c>
      <c r="E1738" s="31" t="n">
        <v>9124</v>
      </c>
      <c r="F1738" s="31" t="n">
        <v>4076</v>
      </c>
      <c r="G1738" s="37" t="n">
        <v>0.446733888645331</v>
      </c>
    </row>
    <row r="1739" customFormat="false" ht="15" hidden="false" customHeight="false" outlineLevel="0" collapsed="false">
      <c r="A1739" s="20" t="s">
        <v>2087</v>
      </c>
      <c r="B1739" s="20" t="s">
        <v>220</v>
      </c>
      <c r="C1739" s="9" t="s">
        <v>1020</v>
      </c>
      <c r="D1739" s="9" t="n">
        <v>2</v>
      </c>
      <c r="E1739" s="30" t="n">
        <v>9108</v>
      </c>
      <c r="F1739" s="30" t="n">
        <v>8578</v>
      </c>
      <c r="G1739" s="35" t="n">
        <v>0.941809398331137</v>
      </c>
    </row>
    <row r="1740" customFormat="false" ht="15" hidden="false" customHeight="false" outlineLevel="0" collapsed="false">
      <c r="A1740" s="25" t="s">
        <v>2088</v>
      </c>
      <c r="B1740" s="25" t="s">
        <v>194</v>
      </c>
      <c r="C1740" s="29" t="s">
        <v>439</v>
      </c>
      <c r="D1740" s="29" t="n">
        <v>1</v>
      </c>
      <c r="E1740" s="31" t="n">
        <v>9074</v>
      </c>
      <c r="F1740" s="31" t="n">
        <v>1974</v>
      </c>
      <c r="G1740" s="37" t="n">
        <v>0.217544633017412</v>
      </c>
    </row>
    <row r="1741" customFormat="false" ht="15" hidden="false" customHeight="false" outlineLevel="0" collapsed="false">
      <c r="A1741" s="20" t="s">
        <v>2089</v>
      </c>
      <c r="B1741" s="20" t="s">
        <v>194</v>
      </c>
      <c r="C1741" s="9" t="s">
        <v>203</v>
      </c>
      <c r="D1741" s="9" t="n">
        <v>1</v>
      </c>
      <c r="E1741" s="30" t="n">
        <v>9047</v>
      </c>
      <c r="F1741" s="30" t="n">
        <v>2904</v>
      </c>
      <c r="G1741" s="35" t="n">
        <v>0.320990383552559</v>
      </c>
    </row>
    <row r="1742" customFormat="false" ht="15" hidden="false" customHeight="false" outlineLevel="0" collapsed="false">
      <c r="A1742" s="25" t="s">
        <v>2090</v>
      </c>
      <c r="B1742" s="29" t="s">
        <v>216</v>
      </c>
      <c r="C1742" s="29" t="s">
        <v>428</v>
      </c>
      <c r="D1742" s="29" t="n">
        <v>6</v>
      </c>
      <c r="E1742" s="31" t="n">
        <v>9006</v>
      </c>
      <c r="F1742" s="31" t="n">
        <v>2106</v>
      </c>
      <c r="G1742" s="37" t="n">
        <v>0.233844103930713</v>
      </c>
    </row>
    <row r="1743" customFormat="false" ht="15" hidden="false" customHeight="false" outlineLevel="0" collapsed="false">
      <c r="A1743" s="20" t="s">
        <v>2091</v>
      </c>
      <c r="B1743" s="20" t="s">
        <v>194</v>
      </c>
      <c r="C1743" s="9" t="s">
        <v>203</v>
      </c>
      <c r="D1743" s="9" t="n">
        <v>4</v>
      </c>
      <c r="E1743" s="30" t="n">
        <v>9004</v>
      </c>
      <c r="F1743" s="30" t="n">
        <v>1352</v>
      </c>
      <c r="G1743" s="35" t="n">
        <v>0.150155486450466</v>
      </c>
    </row>
    <row r="1744" customFormat="false" ht="15" hidden="false" customHeight="false" outlineLevel="0" collapsed="false">
      <c r="A1744" s="25" t="s">
        <v>2092</v>
      </c>
      <c r="B1744" s="25" t="s">
        <v>194</v>
      </c>
      <c r="C1744" s="29" t="s">
        <v>203</v>
      </c>
      <c r="D1744" s="29" t="n">
        <v>6</v>
      </c>
      <c r="E1744" s="31" t="n">
        <v>9000</v>
      </c>
      <c r="F1744" s="31" t="n">
        <v>3240</v>
      </c>
      <c r="G1744" s="37" t="n">
        <v>0.36</v>
      </c>
    </row>
    <row r="1745" customFormat="false" ht="15" hidden="false" customHeight="false" outlineLevel="0" collapsed="false">
      <c r="A1745" s="20" t="s">
        <v>2093</v>
      </c>
      <c r="B1745" s="20" t="s">
        <v>194</v>
      </c>
      <c r="C1745" s="9" t="s">
        <v>295</v>
      </c>
      <c r="D1745" s="9" t="n">
        <v>100</v>
      </c>
      <c r="E1745" s="30" t="n">
        <v>9000</v>
      </c>
      <c r="F1745" s="30" t="n">
        <v>1350</v>
      </c>
      <c r="G1745" s="35" t="n">
        <v>0.15</v>
      </c>
    </row>
    <row r="1746" customFormat="false" ht="15" hidden="false" customHeight="false" outlineLevel="0" collapsed="false">
      <c r="A1746" s="25" t="s">
        <v>2094</v>
      </c>
      <c r="B1746" s="25" t="s">
        <v>200</v>
      </c>
      <c r="C1746" s="29" t="s">
        <v>223</v>
      </c>
      <c r="D1746" s="29" t="n">
        <v>6</v>
      </c>
      <c r="E1746" s="31" t="n">
        <v>8988</v>
      </c>
      <c r="F1746" s="31" t="n">
        <v>3510</v>
      </c>
      <c r="G1746" s="37" t="n">
        <v>0.390520694259012</v>
      </c>
    </row>
    <row r="1747" customFormat="false" ht="15" hidden="false" customHeight="false" outlineLevel="0" collapsed="false">
      <c r="A1747" s="20" t="s">
        <v>2095</v>
      </c>
      <c r="B1747" s="20" t="s">
        <v>194</v>
      </c>
      <c r="C1747" s="9" t="s">
        <v>203</v>
      </c>
      <c r="D1747" s="9" t="n">
        <v>10</v>
      </c>
      <c r="E1747" s="30" t="n">
        <v>8970</v>
      </c>
      <c r="F1747" s="30" t="n">
        <v>2362</v>
      </c>
      <c r="G1747" s="35" t="n">
        <v>0.263322185061316</v>
      </c>
    </row>
    <row r="1748" customFormat="false" ht="15" hidden="false" customHeight="false" outlineLevel="0" collapsed="false">
      <c r="A1748" s="25" t="s">
        <v>2096</v>
      </c>
      <c r="B1748" s="29" t="s">
        <v>216</v>
      </c>
      <c r="C1748" s="29" t="s">
        <v>223</v>
      </c>
      <c r="D1748" s="29" t="n">
        <v>11</v>
      </c>
      <c r="E1748" s="31" t="n">
        <v>8932</v>
      </c>
      <c r="F1748" s="31" t="n">
        <v>2222</v>
      </c>
      <c r="G1748" s="37" t="n">
        <v>0.248768472906404</v>
      </c>
    </row>
    <row r="1749" customFormat="false" ht="15" hidden="false" customHeight="false" outlineLevel="0" collapsed="false">
      <c r="A1749" s="20" t="s">
        <v>2097</v>
      </c>
      <c r="B1749" s="9" t="s">
        <v>216</v>
      </c>
      <c r="C1749" s="9" t="s">
        <v>622</v>
      </c>
      <c r="D1749" s="9" t="n">
        <v>12</v>
      </c>
      <c r="E1749" s="30" t="n">
        <v>8928</v>
      </c>
      <c r="F1749" s="30" t="n">
        <v>1339</v>
      </c>
      <c r="G1749" s="35" t="n">
        <v>0.149977598566308</v>
      </c>
    </row>
    <row r="1750" customFormat="false" ht="15" hidden="false" customHeight="false" outlineLevel="0" collapsed="false">
      <c r="A1750" s="25" t="s">
        <v>2098</v>
      </c>
      <c r="B1750" s="29" t="s">
        <v>253</v>
      </c>
      <c r="C1750" s="29" t="s">
        <v>428</v>
      </c>
      <c r="D1750" s="29" t="n">
        <v>7</v>
      </c>
      <c r="E1750" s="31" t="n">
        <v>8925</v>
      </c>
      <c r="F1750" s="31" t="n">
        <v>-7147</v>
      </c>
      <c r="G1750" s="37" t="n">
        <v>-0.80078431372549</v>
      </c>
    </row>
    <row r="1751" customFormat="false" ht="15" hidden="false" customHeight="false" outlineLevel="0" collapsed="false">
      <c r="A1751" s="20" t="s">
        <v>2099</v>
      </c>
      <c r="B1751" s="20" t="s">
        <v>194</v>
      </c>
      <c r="C1751" s="9" t="s">
        <v>195</v>
      </c>
      <c r="D1751" s="9" t="n">
        <v>2</v>
      </c>
      <c r="E1751" s="30" t="n">
        <v>8912</v>
      </c>
      <c r="F1751" s="30" t="n">
        <v>1337</v>
      </c>
      <c r="G1751" s="35" t="n">
        <v>0.150022441651706</v>
      </c>
    </row>
    <row r="1752" customFormat="false" ht="15" hidden="false" customHeight="false" outlineLevel="0" collapsed="false">
      <c r="A1752" s="25" t="s">
        <v>2100</v>
      </c>
      <c r="B1752" s="25" t="s">
        <v>194</v>
      </c>
      <c r="C1752" s="29" t="s">
        <v>203</v>
      </c>
      <c r="D1752" s="29" t="n">
        <v>6</v>
      </c>
      <c r="E1752" s="31" t="n">
        <v>8910</v>
      </c>
      <c r="F1752" s="31" t="n">
        <v>5004</v>
      </c>
      <c r="G1752" s="37" t="n">
        <v>0.561616161616162</v>
      </c>
    </row>
    <row r="1753" customFormat="false" ht="15" hidden="false" customHeight="false" outlineLevel="0" collapsed="false">
      <c r="A1753" s="20" t="s">
        <v>2101</v>
      </c>
      <c r="B1753" s="20" t="s">
        <v>194</v>
      </c>
      <c r="C1753" s="9" t="s">
        <v>206</v>
      </c>
      <c r="D1753" s="9" t="n">
        <v>1</v>
      </c>
      <c r="E1753" s="30" t="n">
        <v>8908</v>
      </c>
      <c r="F1753" s="30" t="n">
        <v>1535</v>
      </c>
      <c r="G1753" s="35" t="n">
        <v>0.172317018410418</v>
      </c>
    </row>
    <row r="1754" customFormat="false" ht="15" hidden="false" customHeight="false" outlineLevel="0" collapsed="false">
      <c r="A1754" s="25" t="s">
        <v>2102</v>
      </c>
      <c r="B1754" s="29" t="s">
        <v>253</v>
      </c>
      <c r="C1754" s="29" t="s">
        <v>428</v>
      </c>
      <c r="D1754" s="29" t="n">
        <v>10</v>
      </c>
      <c r="E1754" s="31" t="n">
        <v>8900</v>
      </c>
      <c r="F1754" s="31" t="n">
        <v>4540</v>
      </c>
      <c r="G1754" s="37" t="n">
        <v>0.510112359550562</v>
      </c>
    </row>
    <row r="1755" customFormat="false" ht="15" hidden="false" customHeight="false" outlineLevel="0" collapsed="false">
      <c r="A1755" s="20" t="s">
        <v>2103</v>
      </c>
      <c r="B1755" s="20" t="s">
        <v>194</v>
      </c>
      <c r="C1755" s="9" t="s">
        <v>368</v>
      </c>
      <c r="D1755" s="9" t="n">
        <v>1</v>
      </c>
      <c r="E1755" s="30" t="n">
        <v>8895</v>
      </c>
      <c r="F1755" s="30" t="n">
        <v>1334</v>
      </c>
      <c r="G1755" s="35" t="n">
        <v>0.149971894322653</v>
      </c>
    </row>
    <row r="1756" customFormat="false" ht="15" hidden="false" customHeight="false" outlineLevel="0" collapsed="false">
      <c r="A1756" s="25" t="s">
        <v>2104</v>
      </c>
      <c r="B1756" s="25" t="s">
        <v>988</v>
      </c>
      <c r="C1756" s="29" t="s">
        <v>223</v>
      </c>
      <c r="D1756" s="29" t="n">
        <v>6</v>
      </c>
      <c r="E1756" s="31" t="n">
        <v>8856</v>
      </c>
      <c r="F1756" s="31" t="n">
        <v>1326</v>
      </c>
      <c r="G1756" s="37" t="n">
        <v>0.149728997289973</v>
      </c>
    </row>
    <row r="1757" customFormat="false" ht="15" hidden="false" customHeight="false" outlineLevel="0" collapsed="false">
      <c r="A1757" s="20" t="s">
        <v>2105</v>
      </c>
      <c r="B1757" s="20" t="s">
        <v>194</v>
      </c>
      <c r="C1757" s="9" t="s">
        <v>768</v>
      </c>
      <c r="D1757" s="9" t="n">
        <v>1</v>
      </c>
      <c r="E1757" s="30" t="n">
        <v>8856</v>
      </c>
      <c r="F1757" s="30" t="n">
        <v>1370</v>
      </c>
      <c r="G1757" s="35" t="n">
        <v>0.154697380307136</v>
      </c>
    </row>
    <row r="1758" customFormat="false" ht="15" hidden="false" customHeight="false" outlineLevel="0" collapsed="false">
      <c r="A1758" s="25" t="s">
        <v>2106</v>
      </c>
      <c r="B1758" s="25" t="s">
        <v>194</v>
      </c>
      <c r="C1758" s="29" t="s">
        <v>485</v>
      </c>
      <c r="D1758" s="29" t="n">
        <v>1</v>
      </c>
      <c r="E1758" s="31" t="n">
        <v>8851</v>
      </c>
      <c r="F1758" s="31" t="n">
        <v>2877</v>
      </c>
      <c r="G1758" s="37" t="n">
        <v>0.325048017173201</v>
      </c>
    </row>
    <row r="1759" customFormat="false" ht="15" hidden="false" customHeight="false" outlineLevel="0" collapsed="false">
      <c r="A1759" s="20" t="s">
        <v>2107</v>
      </c>
      <c r="B1759" s="20" t="s">
        <v>194</v>
      </c>
      <c r="C1759" s="9" t="s">
        <v>203</v>
      </c>
      <c r="D1759" s="9" t="n">
        <v>9</v>
      </c>
      <c r="E1759" s="30" t="n">
        <v>8847</v>
      </c>
      <c r="F1759" s="30" t="n">
        <v>1324</v>
      </c>
      <c r="G1759" s="35" t="n">
        <v>0.149655250367356</v>
      </c>
    </row>
    <row r="1760" customFormat="false" ht="15" hidden="false" customHeight="false" outlineLevel="0" collapsed="false">
      <c r="A1760" s="25" t="s">
        <v>2108</v>
      </c>
      <c r="B1760" s="29" t="s">
        <v>216</v>
      </c>
      <c r="C1760" s="29" t="s">
        <v>428</v>
      </c>
      <c r="D1760" s="29" t="n">
        <v>3</v>
      </c>
      <c r="E1760" s="31" t="n">
        <v>8772</v>
      </c>
      <c r="F1760" s="31" t="n">
        <v>1764</v>
      </c>
      <c r="G1760" s="37" t="n">
        <v>0.20109439124487</v>
      </c>
    </row>
    <row r="1761" customFormat="false" ht="15" hidden="false" customHeight="false" outlineLevel="0" collapsed="false">
      <c r="A1761" s="20" t="s">
        <v>2109</v>
      </c>
      <c r="B1761" s="20" t="s">
        <v>194</v>
      </c>
      <c r="C1761" s="9" t="s">
        <v>223</v>
      </c>
      <c r="D1761" s="9" t="n">
        <v>5</v>
      </c>
      <c r="E1761" s="30" t="n">
        <v>8728</v>
      </c>
      <c r="F1761" s="30" t="n">
        <v>2998</v>
      </c>
      <c r="G1761" s="35" t="n">
        <v>0.343492208982585</v>
      </c>
    </row>
    <row r="1762" customFormat="false" ht="15" hidden="false" customHeight="false" outlineLevel="0" collapsed="false">
      <c r="A1762" s="25" t="s">
        <v>2110</v>
      </c>
      <c r="B1762" s="29" t="s">
        <v>216</v>
      </c>
      <c r="C1762" s="29" t="s">
        <v>428</v>
      </c>
      <c r="D1762" s="29" t="n">
        <v>5</v>
      </c>
      <c r="E1762" s="31" t="n">
        <v>8725</v>
      </c>
      <c r="F1762" s="31" t="n">
        <v>4225</v>
      </c>
      <c r="G1762" s="37" t="n">
        <v>0.484240687679083</v>
      </c>
    </row>
    <row r="1763" customFormat="false" ht="15" hidden="false" customHeight="false" outlineLevel="0" collapsed="false">
      <c r="A1763" s="20" t="s">
        <v>2111</v>
      </c>
      <c r="B1763" s="20" t="s">
        <v>240</v>
      </c>
      <c r="C1763" s="9" t="s">
        <v>768</v>
      </c>
      <c r="D1763" s="9" t="n">
        <v>11</v>
      </c>
      <c r="E1763" s="30" t="n">
        <v>8712</v>
      </c>
      <c r="F1763" s="30" t="n">
        <v>5632</v>
      </c>
      <c r="G1763" s="35" t="n">
        <v>0.646464646464647</v>
      </c>
    </row>
    <row r="1764" customFormat="false" ht="15" hidden="false" customHeight="false" outlineLevel="0" collapsed="false">
      <c r="A1764" s="25" t="s">
        <v>2112</v>
      </c>
      <c r="B1764" s="29" t="s">
        <v>216</v>
      </c>
      <c r="C1764" s="29" t="s">
        <v>428</v>
      </c>
      <c r="D1764" s="29" t="n">
        <v>11</v>
      </c>
      <c r="E1764" s="31" t="n">
        <v>8712</v>
      </c>
      <c r="F1764" s="31" t="n">
        <v>5412</v>
      </c>
      <c r="G1764" s="37" t="n">
        <v>0.621212121212121</v>
      </c>
    </row>
    <row r="1765" customFormat="false" ht="15" hidden="false" customHeight="false" outlineLevel="0" collapsed="false">
      <c r="A1765" s="20" t="s">
        <v>2113</v>
      </c>
      <c r="B1765" s="20" t="s">
        <v>194</v>
      </c>
      <c r="C1765" s="9" t="s">
        <v>231</v>
      </c>
      <c r="D1765" s="9" t="n">
        <v>7</v>
      </c>
      <c r="E1765" s="30" t="n">
        <v>8694</v>
      </c>
      <c r="F1765" s="30" t="n">
        <v>3927</v>
      </c>
      <c r="G1765" s="35" t="n">
        <v>0.451690821256039</v>
      </c>
    </row>
    <row r="1766" customFormat="false" ht="15" hidden="false" customHeight="false" outlineLevel="0" collapsed="false">
      <c r="A1766" s="25" t="s">
        <v>2114</v>
      </c>
      <c r="B1766" s="25" t="s">
        <v>194</v>
      </c>
      <c r="C1766" s="29" t="s">
        <v>380</v>
      </c>
      <c r="D1766" s="29" t="n">
        <v>4</v>
      </c>
      <c r="E1766" s="31" t="n">
        <v>8692</v>
      </c>
      <c r="F1766" s="31" t="n">
        <v>1304</v>
      </c>
      <c r="G1766" s="37" t="n">
        <v>0.150023009664059</v>
      </c>
    </row>
    <row r="1767" customFormat="false" ht="15" hidden="false" customHeight="false" outlineLevel="0" collapsed="false">
      <c r="A1767" s="20" t="s">
        <v>2115</v>
      </c>
      <c r="B1767" s="20" t="s">
        <v>194</v>
      </c>
      <c r="C1767" s="9" t="s">
        <v>203</v>
      </c>
      <c r="D1767" s="9" t="n">
        <v>3</v>
      </c>
      <c r="E1767" s="30" t="n">
        <v>8685</v>
      </c>
      <c r="F1767" s="30" t="n">
        <v>3714</v>
      </c>
      <c r="G1767" s="35" t="n">
        <v>0.427633851468048</v>
      </c>
    </row>
    <row r="1768" customFormat="false" ht="15" hidden="false" customHeight="false" outlineLevel="0" collapsed="false">
      <c r="A1768" s="25" t="s">
        <v>2116</v>
      </c>
      <c r="B1768" s="25" t="s">
        <v>200</v>
      </c>
      <c r="C1768" s="29" t="s">
        <v>223</v>
      </c>
      <c r="D1768" s="29" t="n">
        <v>6</v>
      </c>
      <c r="E1768" s="31" t="n">
        <v>8658</v>
      </c>
      <c r="F1768" s="31" t="n">
        <v>1297</v>
      </c>
      <c r="G1768" s="37" t="n">
        <v>0.14980364980365</v>
      </c>
    </row>
    <row r="1769" customFormat="false" ht="15" hidden="false" customHeight="false" outlineLevel="0" collapsed="false">
      <c r="A1769" s="20" t="s">
        <v>2117</v>
      </c>
      <c r="B1769" s="9" t="s">
        <v>253</v>
      </c>
      <c r="C1769" s="9" t="s">
        <v>428</v>
      </c>
      <c r="D1769" s="9" t="n">
        <v>10</v>
      </c>
      <c r="E1769" s="30" t="n">
        <v>8620</v>
      </c>
      <c r="F1769" s="30" t="n">
        <v>3880</v>
      </c>
      <c r="G1769" s="35" t="n">
        <v>0.450116009280742</v>
      </c>
    </row>
    <row r="1770" customFormat="false" ht="15" hidden="false" customHeight="false" outlineLevel="0" collapsed="false">
      <c r="A1770" s="25" t="s">
        <v>2118</v>
      </c>
      <c r="B1770" s="29" t="s">
        <v>253</v>
      </c>
      <c r="C1770" s="29" t="s">
        <v>223</v>
      </c>
      <c r="D1770" s="29" t="n">
        <v>1</v>
      </c>
      <c r="E1770" s="31" t="n">
        <v>8577</v>
      </c>
      <c r="F1770" s="31" t="n">
        <v>2426</v>
      </c>
      <c r="G1770" s="37" t="n">
        <v>0.282849481170572</v>
      </c>
    </row>
    <row r="1771" customFormat="false" ht="15" hidden="false" customHeight="false" outlineLevel="0" collapsed="false">
      <c r="A1771" s="20" t="s">
        <v>2119</v>
      </c>
      <c r="B1771" s="20" t="s">
        <v>240</v>
      </c>
      <c r="C1771" s="9" t="s">
        <v>223</v>
      </c>
      <c r="D1771" s="9" t="n">
        <v>2</v>
      </c>
      <c r="E1771" s="30" t="n">
        <v>8574</v>
      </c>
      <c r="F1771" s="30" t="n">
        <v>2004</v>
      </c>
      <c r="G1771" s="35" t="n">
        <v>0.233729881035689</v>
      </c>
    </row>
    <row r="1772" customFormat="false" ht="15" hidden="false" customHeight="false" outlineLevel="0" collapsed="false">
      <c r="A1772" s="25" t="s">
        <v>2120</v>
      </c>
      <c r="B1772" s="25" t="s">
        <v>200</v>
      </c>
      <c r="C1772" s="29" t="s">
        <v>1020</v>
      </c>
      <c r="D1772" s="29" t="n">
        <v>2</v>
      </c>
      <c r="E1772" s="31" t="n">
        <v>8566</v>
      </c>
      <c r="F1772" s="31" t="n">
        <v>-2168</v>
      </c>
      <c r="G1772" s="37" t="n">
        <v>-0.25309362596311</v>
      </c>
    </row>
    <row r="1773" customFormat="false" ht="15" hidden="false" customHeight="false" outlineLevel="0" collapsed="false">
      <c r="A1773" s="20" t="s">
        <v>2121</v>
      </c>
      <c r="B1773" s="20" t="s">
        <v>855</v>
      </c>
      <c r="C1773" s="9" t="s">
        <v>334</v>
      </c>
      <c r="D1773" s="9" t="n">
        <v>4</v>
      </c>
      <c r="E1773" s="30" t="n">
        <v>8560</v>
      </c>
      <c r="F1773" s="30" t="n">
        <v>1284</v>
      </c>
      <c r="G1773" s="35" t="n">
        <v>0.15</v>
      </c>
    </row>
    <row r="1774" customFormat="false" ht="15" hidden="false" customHeight="false" outlineLevel="0" collapsed="false">
      <c r="A1774" s="25" t="s">
        <v>2122</v>
      </c>
      <c r="B1774" s="29" t="s">
        <v>253</v>
      </c>
      <c r="C1774" s="29" t="s">
        <v>223</v>
      </c>
      <c r="D1774" s="29" t="n">
        <v>13</v>
      </c>
      <c r="E1774" s="31" t="n">
        <v>8554</v>
      </c>
      <c r="F1774" s="31" t="n">
        <v>3614</v>
      </c>
      <c r="G1774" s="37" t="n">
        <v>0.422492401215805</v>
      </c>
    </row>
    <row r="1775" customFormat="false" ht="15" hidden="false" customHeight="false" outlineLevel="0" collapsed="false">
      <c r="A1775" s="20" t="s">
        <v>2123</v>
      </c>
      <c r="B1775" s="9" t="s">
        <v>253</v>
      </c>
      <c r="C1775" s="9" t="s">
        <v>428</v>
      </c>
      <c r="D1775" s="9" t="n">
        <v>9</v>
      </c>
      <c r="E1775" s="30" t="n">
        <v>8550</v>
      </c>
      <c r="F1775" s="30" t="n">
        <v>1710</v>
      </c>
      <c r="G1775" s="35" t="n">
        <v>0.2</v>
      </c>
    </row>
    <row r="1776" customFormat="false" ht="15" hidden="false" customHeight="false" outlineLevel="0" collapsed="false">
      <c r="A1776" s="25" t="s">
        <v>2124</v>
      </c>
      <c r="B1776" s="29" t="s">
        <v>253</v>
      </c>
      <c r="C1776" s="29" t="s">
        <v>428</v>
      </c>
      <c r="D1776" s="29" t="n">
        <v>5</v>
      </c>
      <c r="E1776" s="31" t="n">
        <v>8545</v>
      </c>
      <c r="F1776" s="31" t="n">
        <v>6420</v>
      </c>
      <c r="G1776" s="37" t="n">
        <v>0.751316559391457</v>
      </c>
    </row>
    <row r="1777" customFormat="false" ht="15" hidden="false" customHeight="false" outlineLevel="0" collapsed="false">
      <c r="A1777" s="20" t="s">
        <v>2125</v>
      </c>
      <c r="B1777" s="20" t="s">
        <v>194</v>
      </c>
      <c r="C1777" s="9" t="s">
        <v>334</v>
      </c>
      <c r="D1777" s="9" t="n">
        <v>8</v>
      </c>
      <c r="E1777" s="30" t="n">
        <v>8544</v>
      </c>
      <c r="F1777" s="30" t="n">
        <v>2912</v>
      </c>
      <c r="G1777" s="35" t="n">
        <v>0.340823970037453</v>
      </c>
    </row>
    <row r="1778" customFormat="false" ht="15" hidden="false" customHeight="false" outlineLevel="0" collapsed="false">
      <c r="A1778" s="25" t="s">
        <v>2126</v>
      </c>
      <c r="B1778" s="25" t="s">
        <v>194</v>
      </c>
      <c r="C1778" s="29" t="s">
        <v>258</v>
      </c>
      <c r="D1778" s="29" t="n">
        <v>5</v>
      </c>
      <c r="E1778" s="31" t="n">
        <v>8520</v>
      </c>
      <c r="F1778" s="31" t="n">
        <v>-2115</v>
      </c>
      <c r="G1778" s="37" t="n">
        <v>-0.248239436619718</v>
      </c>
    </row>
    <row r="1779" customFormat="false" ht="15" hidden="false" customHeight="false" outlineLevel="0" collapsed="false">
      <c r="A1779" s="20" t="s">
        <v>2127</v>
      </c>
      <c r="B1779" s="9" t="s">
        <v>216</v>
      </c>
      <c r="C1779" s="9" t="s">
        <v>428</v>
      </c>
      <c r="D1779" s="9" t="n">
        <v>5</v>
      </c>
      <c r="E1779" s="30" t="n">
        <v>8510</v>
      </c>
      <c r="F1779" s="30" t="n">
        <v>3610</v>
      </c>
      <c r="G1779" s="35" t="n">
        <v>0.424206815511163</v>
      </c>
    </row>
    <row r="1780" customFormat="false" ht="15" hidden="false" customHeight="false" outlineLevel="0" collapsed="false">
      <c r="A1780" s="25" t="s">
        <v>2128</v>
      </c>
      <c r="B1780" s="25" t="s">
        <v>194</v>
      </c>
      <c r="C1780" s="29" t="s">
        <v>203</v>
      </c>
      <c r="D1780" s="29" t="n">
        <v>10</v>
      </c>
      <c r="E1780" s="31" t="n">
        <v>8510</v>
      </c>
      <c r="F1780" s="31" t="n">
        <v>4170</v>
      </c>
      <c r="G1780" s="37" t="n">
        <v>0.490011750881316</v>
      </c>
    </row>
    <row r="1781" customFormat="false" ht="15" hidden="false" customHeight="false" outlineLevel="0" collapsed="false">
      <c r="A1781" s="20" t="s">
        <v>2129</v>
      </c>
      <c r="B1781" s="20" t="s">
        <v>194</v>
      </c>
      <c r="C1781" s="9" t="s">
        <v>203</v>
      </c>
      <c r="D1781" s="9" t="n">
        <v>3</v>
      </c>
      <c r="E1781" s="30" t="n">
        <v>8481</v>
      </c>
      <c r="F1781" s="30" t="n">
        <v>1272</v>
      </c>
      <c r="G1781" s="35" t="n">
        <v>0.149982313406438</v>
      </c>
    </row>
    <row r="1782" customFormat="false" ht="15" hidden="false" customHeight="false" outlineLevel="0" collapsed="false">
      <c r="A1782" s="25" t="s">
        <v>2130</v>
      </c>
      <c r="B1782" s="25" t="s">
        <v>194</v>
      </c>
      <c r="C1782" s="29" t="s">
        <v>1020</v>
      </c>
      <c r="D1782" s="29" t="n">
        <v>18</v>
      </c>
      <c r="E1782" s="31" t="n">
        <v>8478</v>
      </c>
      <c r="F1782" s="31" t="n">
        <v>1272</v>
      </c>
      <c r="G1782" s="37" t="n">
        <v>0.150035385704176</v>
      </c>
    </row>
    <row r="1783" customFormat="false" ht="15" hidden="false" customHeight="false" outlineLevel="0" collapsed="false">
      <c r="A1783" s="20" t="s">
        <v>2131</v>
      </c>
      <c r="B1783" s="20" t="s">
        <v>194</v>
      </c>
      <c r="C1783" s="9" t="s">
        <v>297</v>
      </c>
      <c r="D1783" s="9" t="n">
        <v>7</v>
      </c>
      <c r="E1783" s="30" t="n">
        <v>8470</v>
      </c>
      <c r="F1783" s="30" t="n">
        <v>2170</v>
      </c>
      <c r="G1783" s="35" t="n">
        <v>0.256198347107438</v>
      </c>
    </row>
    <row r="1784" customFormat="false" ht="15" hidden="false" customHeight="false" outlineLevel="0" collapsed="false">
      <c r="A1784" s="25" t="s">
        <v>2132</v>
      </c>
      <c r="B1784" s="29" t="s">
        <v>253</v>
      </c>
      <c r="C1784" s="29" t="s">
        <v>428</v>
      </c>
      <c r="D1784" s="29" t="n">
        <v>5</v>
      </c>
      <c r="E1784" s="31" t="n">
        <v>8455</v>
      </c>
      <c r="F1784" s="31" t="n">
        <v>3025</v>
      </c>
      <c r="G1784" s="37" t="n">
        <v>0.357776463630988</v>
      </c>
    </row>
    <row r="1785" customFormat="false" ht="15" hidden="false" customHeight="false" outlineLevel="0" collapsed="false">
      <c r="A1785" s="20" t="s">
        <v>2133</v>
      </c>
      <c r="B1785" s="20" t="s">
        <v>194</v>
      </c>
      <c r="C1785" s="9" t="s">
        <v>391</v>
      </c>
      <c r="D1785" s="9" t="n">
        <v>4</v>
      </c>
      <c r="E1785" s="30" t="n">
        <v>8448</v>
      </c>
      <c r="F1785" s="30" t="n">
        <v>2424</v>
      </c>
      <c r="G1785" s="35" t="n">
        <v>0.286931818181818</v>
      </c>
    </row>
    <row r="1786" customFormat="false" ht="15" hidden="false" customHeight="false" outlineLevel="0" collapsed="false">
      <c r="A1786" s="25" t="s">
        <v>2134</v>
      </c>
      <c r="B1786" s="25" t="s">
        <v>200</v>
      </c>
      <c r="C1786" s="29" t="s">
        <v>790</v>
      </c>
      <c r="D1786" s="29" t="n">
        <v>1</v>
      </c>
      <c r="E1786" s="31" t="n">
        <v>8436</v>
      </c>
      <c r="F1786" s="31" t="n">
        <v>2590</v>
      </c>
      <c r="G1786" s="37" t="n">
        <v>0.307017543859649</v>
      </c>
    </row>
    <row r="1787" customFormat="false" ht="15" hidden="false" customHeight="false" outlineLevel="0" collapsed="false">
      <c r="A1787" s="20" t="s">
        <v>2135</v>
      </c>
      <c r="B1787" s="20" t="s">
        <v>194</v>
      </c>
      <c r="C1787" s="9" t="s">
        <v>485</v>
      </c>
      <c r="D1787" s="9" t="n">
        <v>1</v>
      </c>
      <c r="E1787" s="30" t="n">
        <v>8429</v>
      </c>
      <c r="F1787" s="30" t="n">
        <v>3024</v>
      </c>
      <c r="G1787" s="35" t="n">
        <v>0.358761418910903</v>
      </c>
    </row>
    <row r="1788" customFormat="false" ht="15" hidden="false" customHeight="false" outlineLevel="0" collapsed="false">
      <c r="A1788" s="25" t="s">
        <v>2136</v>
      </c>
      <c r="B1788" s="29" t="s">
        <v>253</v>
      </c>
      <c r="C1788" s="29" t="s">
        <v>428</v>
      </c>
      <c r="D1788" s="29" t="n">
        <v>6</v>
      </c>
      <c r="E1788" s="31" t="n">
        <v>8424</v>
      </c>
      <c r="F1788" s="31" t="n">
        <v>1686</v>
      </c>
      <c r="G1788" s="37" t="n">
        <v>0.20014245014245</v>
      </c>
    </row>
    <row r="1789" customFormat="false" ht="15" hidden="false" customHeight="false" outlineLevel="0" collapsed="false">
      <c r="A1789" s="20" t="s">
        <v>2137</v>
      </c>
      <c r="B1789" s="20" t="s">
        <v>194</v>
      </c>
      <c r="C1789" s="9" t="s">
        <v>203</v>
      </c>
      <c r="D1789" s="9" t="n">
        <v>4</v>
      </c>
      <c r="E1789" s="30" t="n">
        <v>8416</v>
      </c>
      <c r="F1789" s="30" t="n">
        <v>2664</v>
      </c>
      <c r="G1789" s="35" t="n">
        <v>0.316539923954373</v>
      </c>
    </row>
    <row r="1790" customFormat="false" ht="15" hidden="false" customHeight="false" outlineLevel="0" collapsed="false">
      <c r="A1790" s="25" t="s">
        <v>2138</v>
      </c>
      <c r="B1790" s="25" t="s">
        <v>200</v>
      </c>
      <c r="C1790" s="29" t="s">
        <v>223</v>
      </c>
      <c r="D1790" s="29" t="n">
        <v>3</v>
      </c>
      <c r="E1790" s="31" t="n">
        <v>8379</v>
      </c>
      <c r="F1790" s="31" t="n">
        <v>1257</v>
      </c>
      <c r="G1790" s="37" t="n">
        <v>0.150017901897601</v>
      </c>
    </row>
    <row r="1791" customFormat="false" ht="15" hidden="false" customHeight="false" outlineLevel="0" collapsed="false">
      <c r="A1791" s="20" t="s">
        <v>2139</v>
      </c>
      <c r="B1791" s="20" t="s">
        <v>200</v>
      </c>
      <c r="C1791" s="9" t="s">
        <v>880</v>
      </c>
      <c r="D1791" s="9" t="n">
        <v>1</v>
      </c>
      <c r="E1791" s="30" t="n">
        <v>8353</v>
      </c>
      <c r="F1791" s="30" t="n">
        <v>1103</v>
      </c>
      <c r="G1791" s="35" t="n">
        <v>0.132048365856578</v>
      </c>
    </row>
    <row r="1792" customFormat="false" ht="15" hidden="false" customHeight="false" outlineLevel="0" collapsed="false">
      <c r="A1792" s="25" t="s">
        <v>2140</v>
      </c>
      <c r="B1792" s="25" t="s">
        <v>200</v>
      </c>
      <c r="C1792" s="29" t="s">
        <v>428</v>
      </c>
      <c r="D1792" s="29" t="n">
        <v>4</v>
      </c>
      <c r="E1792" s="31" t="n">
        <v>8324</v>
      </c>
      <c r="F1792" s="31" t="n">
        <v>3700</v>
      </c>
      <c r="G1792" s="37" t="n">
        <v>0.444497837578088</v>
      </c>
    </row>
    <row r="1793" customFormat="false" ht="15" hidden="false" customHeight="false" outlineLevel="0" collapsed="false">
      <c r="A1793" s="20" t="s">
        <v>2141</v>
      </c>
      <c r="B1793" s="20" t="s">
        <v>220</v>
      </c>
      <c r="C1793" s="9" t="s">
        <v>217</v>
      </c>
      <c r="D1793" s="9" t="n">
        <v>2</v>
      </c>
      <c r="E1793" s="30" t="n">
        <v>8316</v>
      </c>
      <c r="F1793" s="30" t="n">
        <v>1248</v>
      </c>
      <c r="G1793" s="35" t="n">
        <v>0.15007215007215</v>
      </c>
    </row>
    <row r="1794" customFormat="false" ht="15" hidden="false" customHeight="false" outlineLevel="0" collapsed="false">
      <c r="A1794" s="25" t="s">
        <v>2142</v>
      </c>
      <c r="B1794" s="25" t="s">
        <v>200</v>
      </c>
      <c r="C1794" s="29" t="s">
        <v>368</v>
      </c>
      <c r="D1794" s="29" t="n">
        <v>9</v>
      </c>
      <c r="E1794" s="31" t="n">
        <v>8316</v>
      </c>
      <c r="F1794" s="31" t="n">
        <v>1251</v>
      </c>
      <c r="G1794" s="37" t="n">
        <v>0.1504329004329</v>
      </c>
    </row>
    <row r="1795" customFormat="false" ht="15" hidden="false" customHeight="false" outlineLevel="0" collapsed="false">
      <c r="A1795" s="20" t="s">
        <v>2143</v>
      </c>
      <c r="B1795" s="20" t="s">
        <v>200</v>
      </c>
      <c r="C1795" s="9" t="s">
        <v>368</v>
      </c>
      <c r="D1795" s="9" t="n">
        <v>25</v>
      </c>
      <c r="E1795" s="30" t="n">
        <v>8315</v>
      </c>
      <c r="F1795" s="30" t="n">
        <v>1246</v>
      </c>
      <c r="G1795" s="35" t="n">
        <v>0.149849669272399</v>
      </c>
    </row>
    <row r="1796" customFormat="false" ht="15" hidden="false" customHeight="false" outlineLevel="0" collapsed="false">
      <c r="A1796" s="25" t="s">
        <v>2144</v>
      </c>
      <c r="B1796" s="25" t="s">
        <v>2145</v>
      </c>
      <c r="C1796" s="29" t="s">
        <v>334</v>
      </c>
      <c r="D1796" s="29" t="n">
        <v>12</v>
      </c>
      <c r="E1796" s="31" t="n">
        <v>8304</v>
      </c>
      <c r="F1796" s="31" t="n">
        <v>1245</v>
      </c>
      <c r="G1796" s="37" t="n">
        <v>0.14992774566474</v>
      </c>
    </row>
    <row r="1797" customFormat="false" ht="15" hidden="false" customHeight="false" outlineLevel="0" collapsed="false">
      <c r="A1797" s="20" t="s">
        <v>2146</v>
      </c>
      <c r="B1797" s="20" t="s">
        <v>194</v>
      </c>
      <c r="C1797" s="9" t="s">
        <v>203</v>
      </c>
      <c r="D1797" s="9" t="n">
        <v>18</v>
      </c>
      <c r="E1797" s="30" t="n">
        <v>8298</v>
      </c>
      <c r="F1797" s="30" t="n">
        <v>1098</v>
      </c>
      <c r="G1797" s="35" t="n">
        <v>0.132321041214751</v>
      </c>
    </row>
    <row r="1798" customFormat="false" ht="15" hidden="false" customHeight="false" outlineLevel="0" collapsed="false">
      <c r="A1798" s="25" t="s">
        <v>2147</v>
      </c>
      <c r="B1798" s="25" t="s">
        <v>2148</v>
      </c>
      <c r="C1798" s="29" t="s">
        <v>229</v>
      </c>
      <c r="D1798" s="29" t="n">
        <v>150</v>
      </c>
      <c r="E1798" s="31" t="n">
        <v>8250</v>
      </c>
      <c r="F1798" s="31" t="n">
        <v>1237</v>
      </c>
      <c r="G1798" s="37" t="n">
        <v>0.149939393939394</v>
      </c>
    </row>
    <row r="1799" customFormat="false" ht="15" hidden="false" customHeight="false" outlineLevel="0" collapsed="false">
      <c r="A1799" s="20" t="s">
        <v>2149</v>
      </c>
      <c r="B1799" s="9" t="s">
        <v>2150</v>
      </c>
      <c r="C1799" s="9" t="s">
        <v>2151</v>
      </c>
      <c r="D1799" s="9" t="n">
        <v>1</v>
      </c>
      <c r="E1799" s="30" t="n">
        <v>8248</v>
      </c>
      <c r="F1799" s="30" t="n">
        <v>3658</v>
      </c>
      <c r="G1799" s="35" t="n">
        <v>0.443501454898157</v>
      </c>
    </row>
    <row r="1800" customFormat="false" ht="15" hidden="false" customHeight="false" outlineLevel="0" collapsed="false">
      <c r="A1800" s="25" t="s">
        <v>2152</v>
      </c>
      <c r="B1800" s="25" t="s">
        <v>194</v>
      </c>
      <c r="C1800" s="29" t="s">
        <v>203</v>
      </c>
      <c r="D1800" s="29" t="n">
        <v>9</v>
      </c>
      <c r="E1800" s="31" t="n">
        <v>8244</v>
      </c>
      <c r="F1800" s="31" t="n">
        <v>1044</v>
      </c>
      <c r="G1800" s="37" t="n">
        <v>0.126637554585153</v>
      </c>
    </row>
    <row r="1801" customFormat="false" ht="15" hidden="false" customHeight="false" outlineLevel="0" collapsed="false">
      <c r="A1801" s="20" t="s">
        <v>2153</v>
      </c>
      <c r="B1801" s="20" t="s">
        <v>855</v>
      </c>
      <c r="C1801" s="9" t="s">
        <v>334</v>
      </c>
      <c r="D1801" s="9" t="n">
        <v>4</v>
      </c>
      <c r="E1801" s="30" t="n">
        <v>8244</v>
      </c>
      <c r="F1801" s="30" t="n">
        <v>1237</v>
      </c>
      <c r="G1801" s="35" t="n">
        <v>0.150048520135856</v>
      </c>
    </row>
    <row r="1802" customFormat="false" ht="15" hidden="false" customHeight="false" outlineLevel="0" collapsed="false">
      <c r="A1802" s="25" t="s">
        <v>2154</v>
      </c>
      <c r="B1802" s="25" t="s">
        <v>194</v>
      </c>
      <c r="C1802" s="29" t="s">
        <v>880</v>
      </c>
      <c r="D1802" s="29" t="n">
        <v>1</v>
      </c>
      <c r="E1802" s="31" t="n">
        <v>8238</v>
      </c>
      <c r="F1802" s="31" t="n">
        <v>1236</v>
      </c>
      <c r="G1802" s="37" t="n">
        <v>0.150036416605972</v>
      </c>
    </row>
    <row r="1803" customFormat="false" ht="15" hidden="false" customHeight="false" outlineLevel="0" collapsed="false">
      <c r="A1803" s="20" t="s">
        <v>2155</v>
      </c>
      <c r="B1803" s="20" t="s">
        <v>194</v>
      </c>
      <c r="C1803" s="9" t="s">
        <v>203</v>
      </c>
      <c r="D1803" s="9" t="n">
        <v>9</v>
      </c>
      <c r="E1803" s="30" t="n">
        <v>8226</v>
      </c>
      <c r="F1803" s="30" t="n">
        <v>3357</v>
      </c>
      <c r="G1803" s="35" t="n">
        <v>0.408096280087527</v>
      </c>
    </row>
    <row r="1804" customFormat="false" ht="15" hidden="false" customHeight="false" outlineLevel="0" collapsed="false">
      <c r="A1804" s="25" t="s">
        <v>2156</v>
      </c>
      <c r="B1804" s="25" t="s">
        <v>194</v>
      </c>
      <c r="C1804" s="29" t="s">
        <v>368</v>
      </c>
      <c r="D1804" s="29" t="n">
        <v>5</v>
      </c>
      <c r="E1804" s="31" t="n">
        <v>8224</v>
      </c>
      <c r="F1804" s="31" t="n">
        <v>2719</v>
      </c>
      <c r="G1804" s="37" t="n">
        <v>0.330617704280156</v>
      </c>
    </row>
    <row r="1805" customFormat="false" ht="15" hidden="false" customHeight="false" outlineLevel="0" collapsed="false">
      <c r="A1805" s="20" t="s">
        <v>2157</v>
      </c>
      <c r="B1805" s="9" t="s">
        <v>253</v>
      </c>
      <c r="C1805" s="9" t="s">
        <v>223</v>
      </c>
      <c r="D1805" s="9" t="n">
        <v>3</v>
      </c>
      <c r="E1805" s="30" t="n">
        <v>8202</v>
      </c>
      <c r="F1805" s="30" t="n">
        <v>-1509</v>
      </c>
      <c r="G1805" s="35" t="n">
        <v>-0.183979517190929</v>
      </c>
    </row>
    <row r="1806" customFormat="false" ht="15" hidden="false" customHeight="false" outlineLevel="0" collapsed="false">
      <c r="A1806" s="25" t="s">
        <v>2158</v>
      </c>
      <c r="B1806" s="25" t="s">
        <v>220</v>
      </c>
      <c r="C1806" s="29" t="s">
        <v>428</v>
      </c>
      <c r="D1806" s="29" t="n">
        <v>3</v>
      </c>
      <c r="E1806" s="31" t="n">
        <v>8187</v>
      </c>
      <c r="F1806" s="31" t="n">
        <v>2547</v>
      </c>
      <c r="G1806" s="37" t="n">
        <v>0.311102968120191</v>
      </c>
    </row>
    <row r="1807" customFormat="false" ht="15" hidden="false" customHeight="false" outlineLevel="0" collapsed="false">
      <c r="A1807" s="20" t="s">
        <v>2159</v>
      </c>
      <c r="B1807" s="20" t="s">
        <v>194</v>
      </c>
      <c r="C1807" s="9" t="s">
        <v>2160</v>
      </c>
      <c r="D1807" s="9" t="n">
        <v>5</v>
      </c>
      <c r="E1807" s="30" t="n">
        <v>8185</v>
      </c>
      <c r="F1807" s="30" t="n">
        <v>3015</v>
      </c>
      <c r="G1807" s="35" t="n">
        <v>0.368356750152718</v>
      </c>
    </row>
    <row r="1808" customFormat="false" ht="15" hidden="false" customHeight="false" outlineLevel="0" collapsed="false">
      <c r="A1808" s="25" t="s">
        <v>2161</v>
      </c>
      <c r="B1808" s="25" t="s">
        <v>200</v>
      </c>
      <c r="C1808" s="29" t="s">
        <v>880</v>
      </c>
      <c r="D1808" s="29" t="n">
        <v>6</v>
      </c>
      <c r="E1808" s="31" t="n">
        <v>8178</v>
      </c>
      <c r="F1808" s="31" t="n">
        <v>1896</v>
      </c>
      <c r="G1808" s="37" t="n">
        <v>0.231841526045488</v>
      </c>
    </row>
    <row r="1809" customFormat="false" ht="15" hidden="false" customHeight="false" outlineLevel="0" collapsed="false">
      <c r="A1809" s="20" t="s">
        <v>2162</v>
      </c>
      <c r="B1809" s="20" t="s">
        <v>200</v>
      </c>
      <c r="C1809" s="9" t="s">
        <v>297</v>
      </c>
      <c r="D1809" s="9" t="n">
        <v>1</v>
      </c>
      <c r="E1809" s="30" t="n">
        <v>8157</v>
      </c>
      <c r="F1809" s="30" t="n">
        <v>3762</v>
      </c>
      <c r="G1809" s="35" t="n">
        <v>0.461198970209636</v>
      </c>
    </row>
    <row r="1810" customFormat="false" ht="15" hidden="false" customHeight="false" outlineLevel="0" collapsed="false">
      <c r="A1810" s="25" t="s">
        <v>2163</v>
      </c>
      <c r="B1810" s="25" t="s">
        <v>194</v>
      </c>
      <c r="C1810" s="29" t="s">
        <v>485</v>
      </c>
      <c r="D1810" s="29" t="n">
        <v>1</v>
      </c>
      <c r="E1810" s="31" t="n">
        <v>8145</v>
      </c>
      <c r="F1810" s="31" t="n">
        <v>4382</v>
      </c>
      <c r="G1810" s="37" t="n">
        <v>0.537998772252916</v>
      </c>
    </row>
    <row r="1811" customFormat="false" ht="15" hidden="false" customHeight="false" outlineLevel="0" collapsed="false">
      <c r="A1811" s="20" t="s">
        <v>2164</v>
      </c>
      <c r="B1811" s="9" t="s">
        <v>962</v>
      </c>
      <c r="C1811" s="9" t="s">
        <v>229</v>
      </c>
      <c r="D1811" s="9" t="n">
        <v>3</v>
      </c>
      <c r="E1811" s="30" t="n">
        <v>8130</v>
      </c>
      <c r="F1811" s="30" t="n">
        <v>-1770</v>
      </c>
      <c r="G1811" s="35" t="n">
        <v>-0.217712177121771</v>
      </c>
    </row>
    <row r="1812" customFormat="false" ht="15" hidden="false" customHeight="false" outlineLevel="0" collapsed="false">
      <c r="A1812" s="25" t="s">
        <v>2165</v>
      </c>
      <c r="B1812" s="25" t="s">
        <v>194</v>
      </c>
      <c r="C1812" s="29" t="s">
        <v>439</v>
      </c>
      <c r="D1812" s="29" t="n">
        <v>1</v>
      </c>
      <c r="E1812" s="31" t="n">
        <v>8119</v>
      </c>
      <c r="F1812" s="31" t="n">
        <v>1218</v>
      </c>
      <c r="G1812" s="37" t="n">
        <v>0.150018475181673</v>
      </c>
    </row>
    <row r="1813" customFormat="false" ht="15" hidden="false" customHeight="false" outlineLevel="0" collapsed="false">
      <c r="A1813" s="20" t="s">
        <v>2166</v>
      </c>
      <c r="B1813" s="20" t="s">
        <v>855</v>
      </c>
      <c r="C1813" s="9" t="s">
        <v>334</v>
      </c>
      <c r="D1813" s="9" t="n">
        <v>4</v>
      </c>
      <c r="E1813" s="30" t="n">
        <v>8092</v>
      </c>
      <c r="F1813" s="30" t="n">
        <v>1214</v>
      </c>
      <c r="G1813" s="35" t="n">
        <v>0.15002471576866</v>
      </c>
    </row>
    <row r="1814" customFormat="false" ht="15" hidden="false" customHeight="false" outlineLevel="0" collapsed="false">
      <c r="A1814" s="25" t="s">
        <v>2167</v>
      </c>
      <c r="B1814" s="25" t="s">
        <v>2168</v>
      </c>
      <c r="C1814" s="29" t="s">
        <v>206</v>
      </c>
      <c r="D1814" s="29" t="n">
        <v>25</v>
      </c>
      <c r="E1814" s="31" t="n">
        <v>8075</v>
      </c>
      <c r="F1814" s="31" t="n">
        <v>1211</v>
      </c>
      <c r="G1814" s="37" t="n">
        <v>0.149969040247678</v>
      </c>
    </row>
    <row r="1815" customFormat="false" ht="15" hidden="false" customHeight="false" outlineLevel="0" collapsed="false">
      <c r="A1815" s="20" t="s">
        <v>2169</v>
      </c>
      <c r="B1815" s="20" t="s">
        <v>194</v>
      </c>
      <c r="C1815" s="9" t="s">
        <v>231</v>
      </c>
      <c r="D1815" s="9" t="n">
        <v>1</v>
      </c>
      <c r="E1815" s="30" t="n">
        <v>8073</v>
      </c>
      <c r="F1815" s="30" t="n">
        <v>5852</v>
      </c>
      <c r="G1815" s="35" t="n">
        <v>0.724885420537594</v>
      </c>
    </row>
    <row r="1816" customFormat="false" ht="15" hidden="false" customHeight="false" outlineLevel="0" collapsed="false">
      <c r="A1816" s="25" t="s">
        <v>2170</v>
      </c>
      <c r="B1816" s="25" t="s">
        <v>194</v>
      </c>
      <c r="C1816" s="29" t="s">
        <v>223</v>
      </c>
      <c r="D1816" s="29" t="n">
        <v>1</v>
      </c>
      <c r="E1816" s="31" t="n">
        <v>8066</v>
      </c>
      <c r="F1816" s="31" t="n">
        <v>2482</v>
      </c>
      <c r="G1816" s="37" t="n">
        <v>0.307711381105877</v>
      </c>
    </row>
    <row r="1817" customFormat="false" ht="15" hidden="false" customHeight="false" outlineLevel="0" collapsed="false">
      <c r="A1817" s="20" t="s">
        <v>2171</v>
      </c>
      <c r="B1817" s="20" t="s">
        <v>194</v>
      </c>
      <c r="C1817" s="9" t="s">
        <v>217</v>
      </c>
      <c r="D1817" s="9" t="n">
        <v>4</v>
      </c>
      <c r="E1817" s="30" t="n">
        <v>8064</v>
      </c>
      <c r="F1817" s="30" t="n">
        <v>2228</v>
      </c>
      <c r="G1817" s="35" t="n">
        <v>0.276289682539683</v>
      </c>
    </row>
    <row r="1818" customFormat="false" ht="15" hidden="false" customHeight="false" outlineLevel="0" collapsed="false">
      <c r="A1818" s="25" t="s">
        <v>2172</v>
      </c>
      <c r="B1818" s="25" t="s">
        <v>194</v>
      </c>
      <c r="C1818" s="29" t="s">
        <v>485</v>
      </c>
      <c r="D1818" s="29" t="n">
        <v>1</v>
      </c>
      <c r="E1818" s="31" t="n">
        <v>8059</v>
      </c>
      <c r="F1818" s="31" t="n">
        <v>3188</v>
      </c>
      <c r="G1818" s="37" t="n">
        <v>0.395582578483683</v>
      </c>
    </row>
    <row r="1819" customFormat="false" ht="15" hidden="false" customHeight="false" outlineLevel="0" collapsed="false">
      <c r="A1819" s="20" t="s">
        <v>2173</v>
      </c>
      <c r="B1819" s="20" t="s">
        <v>194</v>
      </c>
      <c r="C1819" s="9" t="s">
        <v>334</v>
      </c>
      <c r="D1819" s="9" t="n">
        <v>32</v>
      </c>
      <c r="E1819" s="30" t="n">
        <v>8032</v>
      </c>
      <c r="F1819" s="30" t="n">
        <v>928</v>
      </c>
      <c r="G1819" s="35" t="n">
        <v>0.115537848605578</v>
      </c>
    </row>
    <row r="1820" customFormat="false" ht="15" hidden="false" customHeight="false" outlineLevel="0" collapsed="false">
      <c r="A1820" s="25" t="s">
        <v>2174</v>
      </c>
      <c r="B1820" s="25" t="s">
        <v>194</v>
      </c>
      <c r="C1820" s="29" t="s">
        <v>203</v>
      </c>
      <c r="D1820" s="29" t="n">
        <v>3</v>
      </c>
      <c r="E1820" s="31" t="n">
        <v>8022</v>
      </c>
      <c r="F1820" s="31" t="n">
        <v>2163</v>
      </c>
      <c r="G1820" s="37" t="n">
        <v>0.269633507853403</v>
      </c>
    </row>
    <row r="1821" customFormat="false" ht="15" hidden="false" customHeight="false" outlineLevel="0" collapsed="false">
      <c r="A1821" s="20" t="s">
        <v>2175</v>
      </c>
      <c r="B1821" s="20" t="s">
        <v>220</v>
      </c>
      <c r="C1821" s="9" t="s">
        <v>428</v>
      </c>
      <c r="D1821" s="9" t="n">
        <v>3</v>
      </c>
      <c r="E1821" s="30" t="n">
        <v>8016</v>
      </c>
      <c r="F1821" s="30" t="n">
        <v>2472</v>
      </c>
      <c r="G1821" s="35" t="n">
        <v>0.308383233532934</v>
      </c>
    </row>
    <row r="1822" customFormat="false" ht="15" hidden="false" customHeight="false" outlineLevel="0" collapsed="false">
      <c r="A1822" s="25" t="s">
        <v>2176</v>
      </c>
      <c r="B1822" s="25" t="s">
        <v>194</v>
      </c>
      <c r="C1822" s="29" t="s">
        <v>231</v>
      </c>
      <c r="D1822" s="29" t="n">
        <v>1</v>
      </c>
      <c r="E1822" s="31" t="n">
        <v>8010</v>
      </c>
      <c r="F1822" s="31" t="n">
        <v>1201</v>
      </c>
      <c r="G1822" s="37" t="n">
        <v>0.149937578027466</v>
      </c>
    </row>
    <row r="1823" customFormat="false" ht="15" hidden="false" customHeight="false" outlineLevel="0" collapsed="false">
      <c r="A1823" s="20" t="s">
        <v>2177</v>
      </c>
      <c r="B1823" s="20" t="s">
        <v>194</v>
      </c>
      <c r="C1823" s="9" t="s">
        <v>203</v>
      </c>
      <c r="D1823" s="9" t="n">
        <v>18</v>
      </c>
      <c r="E1823" s="30" t="n">
        <v>8010</v>
      </c>
      <c r="F1823" s="30" t="n">
        <v>0</v>
      </c>
      <c r="G1823" s="35" t="n">
        <v>0</v>
      </c>
    </row>
    <row r="1824" customFormat="false" ht="15" hidden="false" customHeight="false" outlineLevel="0" collapsed="false">
      <c r="A1824" s="25" t="s">
        <v>2178</v>
      </c>
      <c r="B1824" s="29" t="s">
        <v>253</v>
      </c>
      <c r="C1824" s="29" t="s">
        <v>428</v>
      </c>
      <c r="D1824" s="29" t="n">
        <v>8</v>
      </c>
      <c r="E1824" s="31" t="n">
        <v>8000</v>
      </c>
      <c r="F1824" s="31" t="n">
        <v>-464</v>
      </c>
      <c r="G1824" s="37" t="n">
        <v>-0.058</v>
      </c>
    </row>
    <row r="1825" customFormat="false" ht="15" hidden="false" customHeight="false" outlineLevel="0" collapsed="false">
      <c r="A1825" s="20" t="s">
        <v>2179</v>
      </c>
      <c r="B1825" s="20" t="s">
        <v>220</v>
      </c>
      <c r="C1825" s="9" t="s">
        <v>428</v>
      </c>
      <c r="D1825" s="9" t="n">
        <v>3</v>
      </c>
      <c r="E1825" s="30" t="n">
        <v>7998</v>
      </c>
      <c r="F1825" s="30" t="n">
        <v>2454</v>
      </c>
      <c r="G1825" s="35" t="n">
        <v>0.306826706676669</v>
      </c>
    </row>
    <row r="1826" customFormat="false" ht="15" hidden="false" customHeight="false" outlineLevel="0" collapsed="false">
      <c r="A1826" s="25" t="s">
        <v>2180</v>
      </c>
      <c r="B1826" s="25" t="s">
        <v>194</v>
      </c>
      <c r="C1826" s="29" t="s">
        <v>203</v>
      </c>
      <c r="D1826" s="29" t="n">
        <v>2</v>
      </c>
      <c r="E1826" s="31" t="n">
        <v>7994</v>
      </c>
      <c r="F1826" s="31" t="n">
        <v>6706</v>
      </c>
      <c r="G1826" s="37" t="n">
        <v>0.838879159369527</v>
      </c>
    </row>
    <row r="1827" customFormat="false" ht="15" hidden="false" customHeight="false" outlineLevel="0" collapsed="false">
      <c r="A1827" s="20" t="s">
        <v>2181</v>
      </c>
      <c r="B1827" s="20" t="s">
        <v>240</v>
      </c>
      <c r="C1827" s="9" t="s">
        <v>516</v>
      </c>
      <c r="D1827" s="9" t="n">
        <v>5</v>
      </c>
      <c r="E1827" s="30" t="n">
        <v>7985</v>
      </c>
      <c r="F1827" s="30" t="n">
        <v>2220</v>
      </c>
      <c r="G1827" s="35" t="n">
        <v>0.278021289918597</v>
      </c>
    </row>
    <row r="1828" customFormat="false" ht="15" hidden="false" customHeight="false" outlineLevel="0" collapsed="false">
      <c r="A1828" s="25" t="s">
        <v>2182</v>
      </c>
      <c r="B1828" s="25" t="s">
        <v>855</v>
      </c>
      <c r="C1828" s="29" t="s">
        <v>334</v>
      </c>
      <c r="D1828" s="29" t="n">
        <v>4</v>
      </c>
      <c r="E1828" s="31" t="n">
        <v>7984</v>
      </c>
      <c r="F1828" s="31" t="n">
        <v>7644</v>
      </c>
      <c r="G1828" s="37" t="n">
        <v>0.957414829659319</v>
      </c>
    </row>
    <row r="1829" customFormat="false" ht="15" hidden="false" customHeight="false" outlineLevel="0" collapsed="false">
      <c r="A1829" s="20" t="s">
        <v>2183</v>
      </c>
      <c r="B1829" s="9" t="s">
        <v>253</v>
      </c>
      <c r="C1829" s="9" t="s">
        <v>428</v>
      </c>
      <c r="D1829" s="9" t="n">
        <v>9</v>
      </c>
      <c r="E1829" s="30" t="n">
        <v>7983</v>
      </c>
      <c r="F1829" s="30" t="n">
        <v>3591</v>
      </c>
      <c r="G1829" s="35" t="n">
        <v>0.449830890642616</v>
      </c>
    </row>
    <row r="1830" customFormat="false" ht="15" hidden="false" customHeight="false" outlineLevel="0" collapsed="false">
      <c r="A1830" s="25" t="s">
        <v>2184</v>
      </c>
      <c r="B1830" s="25" t="s">
        <v>194</v>
      </c>
      <c r="C1830" s="29" t="s">
        <v>203</v>
      </c>
      <c r="D1830" s="29" t="n">
        <v>1</v>
      </c>
      <c r="E1830" s="31" t="n">
        <v>7935</v>
      </c>
      <c r="F1830" s="31" t="n">
        <v>2978</v>
      </c>
      <c r="G1830" s="37" t="n">
        <v>0.375299306868305</v>
      </c>
    </row>
    <row r="1831" customFormat="false" ht="15" hidden="false" customHeight="false" outlineLevel="0" collapsed="false">
      <c r="A1831" s="20" t="s">
        <v>2185</v>
      </c>
      <c r="B1831" s="9" t="s">
        <v>253</v>
      </c>
      <c r="C1831" s="9" t="s">
        <v>297</v>
      </c>
      <c r="D1831" s="9" t="n">
        <v>1</v>
      </c>
      <c r="E1831" s="30" t="n">
        <v>7926</v>
      </c>
      <c r="F1831" s="30" t="n">
        <v>3555</v>
      </c>
      <c r="G1831" s="35" t="n">
        <v>0.448523845571537</v>
      </c>
    </row>
    <row r="1832" customFormat="false" ht="15" hidden="false" customHeight="false" outlineLevel="0" collapsed="false">
      <c r="A1832" s="25" t="s">
        <v>2186</v>
      </c>
      <c r="B1832" s="29" t="s">
        <v>2187</v>
      </c>
      <c r="C1832" s="29" t="s">
        <v>223</v>
      </c>
      <c r="D1832" s="29" t="n">
        <v>24</v>
      </c>
      <c r="E1832" s="31" t="n">
        <v>7920</v>
      </c>
      <c r="F1832" s="31" t="n">
        <v>1188</v>
      </c>
      <c r="G1832" s="37" t="n">
        <v>0.15</v>
      </c>
    </row>
    <row r="1833" customFormat="false" ht="15" hidden="false" customHeight="false" outlineLevel="0" collapsed="false">
      <c r="A1833" s="20" t="s">
        <v>2188</v>
      </c>
      <c r="B1833" s="20" t="s">
        <v>194</v>
      </c>
      <c r="C1833" s="9" t="s">
        <v>334</v>
      </c>
      <c r="D1833" s="9" t="n">
        <v>4</v>
      </c>
      <c r="E1833" s="30" t="n">
        <v>7916</v>
      </c>
      <c r="F1833" s="30" t="n">
        <v>1228</v>
      </c>
      <c r="G1833" s="35" t="n">
        <v>0.155128852956038</v>
      </c>
    </row>
    <row r="1834" customFormat="false" ht="15" hidden="false" customHeight="false" outlineLevel="0" collapsed="false">
      <c r="A1834" s="25" t="s">
        <v>2189</v>
      </c>
      <c r="B1834" s="29" t="s">
        <v>253</v>
      </c>
      <c r="C1834" s="29" t="s">
        <v>297</v>
      </c>
      <c r="D1834" s="29" t="n">
        <v>1</v>
      </c>
      <c r="E1834" s="31" t="n">
        <v>7900</v>
      </c>
      <c r="F1834" s="31" t="n">
        <v>1185</v>
      </c>
      <c r="G1834" s="37" t="n">
        <v>0.15</v>
      </c>
    </row>
    <row r="1835" customFormat="false" ht="15" hidden="false" customHeight="false" outlineLevel="0" collapsed="false">
      <c r="A1835" s="20" t="s">
        <v>2190</v>
      </c>
      <c r="B1835" s="9" t="s">
        <v>253</v>
      </c>
      <c r="C1835" s="9" t="s">
        <v>428</v>
      </c>
      <c r="D1835" s="9" t="n">
        <v>6</v>
      </c>
      <c r="E1835" s="30" t="n">
        <v>7884</v>
      </c>
      <c r="F1835" s="30" t="n">
        <v>4722</v>
      </c>
      <c r="G1835" s="35" t="n">
        <v>0.598934550989346</v>
      </c>
    </row>
    <row r="1836" customFormat="false" ht="15" hidden="false" customHeight="false" outlineLevel="0" collapsed="false">
      <c r="A1836" s="25" t="s">
        <v>2191</v>
      </c>
      <c r="B1836" s="25" t="s">
        <v>194</v>
      </c>
      <c r="C1836" s="29" t="s">
        <v>231</v>
      </c>
      <c r="D1836" s="29" t="n">
        <v>2</v>
      </c>
      <c r="E1836" s="31" t="n">
        <v>7852</v>
      </c>
      <c r="F1836" s="31" t="n">
        <v>4798</v>
      </c>
      <c r="G1836" s="37" t="n">
        <v>0.611054508405502</v>
      </c>
    </row>
    <row r="1837" customFormat="false" ht="15" hidden="false" customHeight="false" outlineLevel="0" collapsed="false">
      <c r="A1837" s="20" t="s">
        <v>2192</v>
      </c>
      <c r="B1837" s="9" t="s">
        <v>253</v>
      </c>
      <c r="C1837" s="9" t="s">
        <v>439</v>
      </c>
      <c r="D1837" s="9" t="n">
        <v>4</v>
      </c>
      <c r="E1837" s="30" t="n">
        <v>7816</v>
      </c>
      <c r="F1837" s="30" t="n">
        <v>1172</v>
      </c>
      <c r="G1837" s="35" t="n">
        <v>0.149948822927329</v>
      </c>
    </row>
    <row r="1838" customFormat="false" ht="15" hidden="false" customHeight="false" outlineLevel="0" collapsed="false">
      <c r="A1838" s="25" t="s">
        <v>2193</v>
      </c>
      <c r="B1838" s="25" t="s">
        <v>194</v>
      </c>
      <c r="C1838" s="29" t="s">
        <v>485</v>
      </c>
      <c r="D1838" s="29" t="n">
        <v>1</v>
      </c>
      <c r="E1838" s="31" t="n">
        <v>7810</v>
      </c>
      <c r="F1838" s="31" t="n">
        <v>3715</v>
      </c>
      <c r="G1838" s="37" t="n">
        <v>0.475672215108835</v>
      </c>
    </row>
    <row r="1839" customFormat="false" ht="15" hidden="false" customHeight="false" outlineLevel="0" collapsed="false">
      <c r="A1839" s="20" t="s">
        <v>2194</v>
      </c>
      <c r="B1839" s="9" t="s">
        <v>216</v>
      </c>
      <c r="C1839" s="9" t="s">
        <v>223</v>
      </c>
      <c r="D1839" s="9" t="n">
        <v>3</v>
      </c>
      <c r="E1839" s="30" t="n">
        <v>7806</v>
      </c>
      <c r="F1839" s="30" t="n">
        <v>2775</v>
      </c>
      <c r="G1839" s="35" t="n">
        <v>0.355495772482706</v>
      </c>
    </row>
    <row r="1840" customFormat="false" ht="15" hidden="false" customHeight="false" outlineLevel="0" collapsed="false">
      <c r="A1840" s="25" t="s">
        <v>2195</v>
      </c>
      <c r="B1840" s="25" t="s">
        <v>200</v>
      </c>
      <c r="C1840" s="29" t="s">
        <v>223</v>
      </c>
      <c r="D1840" s="29" t="n">
        <v>8</v>
      </c>
      <c r="E1840" s="31" t="n">
        <v>7784</v>
      </c>
      <c r="F1840" s="31" t="n">
        <v>1736</v>
      </c>
      <c r="G1840" s="37" t="n">
        <v>0.223021582733813</v>
      </c>
    </row>
    <row r="1841" customFormat="false" ht="15" hidden="false" customHeight="false" outlineLevel="0" collapsed="false">
      <c r="A1841" s="20" t="s">
        <v>2196</v>
      </c>
      <c r="B1841" s="20" t="s">
        <v>194</v>
      </c>
      <c r="C1841" s="9" t="s">
        <v>195</v>
      </c>
      <c r="D1841" s="9" t="n">
        <v>2</v>
      </c>
      <c r="E1841" s="30" t="n">
        <v>7782</v>
      </c>
      <c r="F1841" s="30" t="n">
        <v>1210</v>
      </c>
      <c r="G1841" s="35" t="n">
        <v>0.155487021331277</v>
      </c>
    </row>
    <row r="1842" customFormat="false" ht="15" hidden="false" customHeight="false" outlineLevel="0" collapsed="false">
      <c r="A1842" s="25" t="s">
        <v>2197</v>
      </c>
      <c r="B1842" s="29" t="s">
        <v>253</v>
      </c>
      <c r="C1842" s="29" t="s">
        <v>428</v>
      </c>
      <c r="D1842" s="29" t="n">
        <v>7</v>
      </c>
      <c r="E1842" s="31" t="n">
        <v>7777</v>
      </c>
      <c r="F1842" s="31" t="n">
        <v>3500</v>
      </c>
      <c r="G1842" s="37" t="n">
        <v>0.45004500450045</v>
      </c>
    </row>
    <row r="1843" customFormat="false" ht="15" hidden="false" customHeight="false" outlineLevel="0" collapsed="false">
      <c r="A1843" s="20" t="s">
        <v>2198</v>
      </c>
      <c r="B1843" s="20" t="s">
        <v>1264</v>
      </c>
      <c r="C1843" s="9" t="s">
        <v>391</v>
      </c>
      <c r="D1843" s="9" t="n">
        <v>1</v>
      </c>
      <c r="E1843" s="30" t="n">
        <v>7774</v>
      </c>
      <c r="F1843" s="30" t="n">
        <v>2989</v>
      </c>
      <c r="G1843" s="35" t="n">
        <v>0.384486750707487</v>
      </c>
    </row>
    <row r="1844" customFormat="false" ht="15" hidden="false" customHeight="false" outlineLevel="0" collapsed="false">
      <c r="A1844" s="25" t="s">
        <v>2199</v>
      </c>
      <c r="B1844" s="25" t="s">
        <v>194</v>
      </c>
      <c r="C1844" s="29" t="s">
        <v>203</v>
      </c>
      <c r="D1844" s="29" t="n">
        <v>6</v>
      </c>
      <c r="E1844" s="31" t="n">
        <v>7770</v>
      </c>
      <c r="F1844" s="31" t="n">
        <v>1164</v>
      </c>
      <c r="G1844" s="37" t="n">
        <v>0.14980694980695</v>
      </c>
    </row>
    <row r="1845" customFormat="false" ht="15" hidden="false" customHeight="false" outlineLevel="0" collapsed="false">
      <c r="A1845" s="20" t="s">
        <v>2200</v>
      </c>
      <c r="B1845" s="20" t="s">
        <v>194</v>
      </c>
      <c r="C1845" s="9" t="s">
        <v>203</v>
      </c>
      <c r="D1845" s="9" t="n">
        <v>6</v>
      </c>
      <c r="E1845" s="30" t="n">
        <v>7758</v>
      </c>
      <c r="F1845" s="30" t="n">
        <v>1163</v>
      </c>
      <c r="G1845" s="35" t="n">
        <v>0.149909770559423</v>
      </c>
    </row>
    <row r="1846" customFormat="false" ht="15" hidden="false" customHeight="false" outlineLevel="0" collapsed="false">
      <c r="A1846" s="25" t="s">
        <v>2201</v>
      </c>
      <c r="B1846" s="25" t="s">
        <v>194</v>
      </c>
      <c r="C1846" s="29" t="s">
        <v>203</v>
      </c>
      <c r="D1846" s="29" t="n">
        <v>3</v>
      </c>
      <c r="E1846" s="31" t="n">
        <v>7728</v>
      </c>
      <c r="F1846" s="31" t="n">
        <v>1158</v>
      </c>
      <c r="G1846" s="37" t="n">
        <v>0.149844720496894</v>
      </c>
    </row>
    <row r="1847" customFormat="false" ht="15" hidden="false" customHeight="false" outlineLevel="0" collapsed="false">
      <c r="A1847" s="20" t="s">
        <v>2202</v>
      </c>
      <c r="B1847" s="20" t="s">
        <v>200</v>
      </c>
      <c r="C1847" s="9" t="s">
        <v>1009</v>
      </c>
      <c r="D1847" s="9" t="n">
        <v>2</v>
      </c>
      <c r="E1847" s="30" t="n">
        <v>7728</v>
      </c>
      <c r="F1847" s="30" t="n">
        <v>6528</v>
      </c>
      <c r="G1847" s="35" t="n">
        <v>0.84472049689441</v>
      </c>
    </row>
    <row r="1848" customFormat="false" ht="15" hidden="false" customHeight="false" outlineLevel="0" collapsed="false">
      <c r="A1848" s="25" t="s">
        <v>2203</v>
      </c>
      <c r="B1848" s="25" t="s">
        <v>194</v>
      </c>
      <c r="C1848" s="29" t="s">
        <v>203</v>
      </c>
      <c r="D1848" s="29" t="n">
        <v>3</v>
      </c>
      <c r="E1848" s="31" t="n">
        <v>7716</v>
      </c>
      <c r="F1848" s="31" t="n">
        <v>1158</v>
      </c>
      <c r="G1848" s="37" t="n">
        <v>0.150077760497667</v>
      </c>
    </row>
    <row r="1849" customFormat="false" ht="15" hidden="false" customHeight="false" outlineLevel="0" collapsed="false">
      <c r="A1849" s="20" t="s">
        <v>2204</v>
      </c>
      <c r="B1849" s="20" t="s">
        <v>194</v>
      </c>
      <c r="C1849" s="9" t="s">
        <v>195</v>
      </c>
      <c r="D1849" s="9" t="n">
        <v>2</v>
      </c>
      <c r="E1849" s="30" t="n">
        <v>7699</v>
      </c>
      <c r="F1849" s="30" t="n">
        <v>5899</v>
      </c>
      <c r="G1849" s="35" t="n">
        <v>0.766203403039356</v>
      </c>
    </row>
    <row r="1850" customFormat="false" ht="15" hidden="false" customHeight="false" outlineLevel="0" collapsed="false">
      <c r="A1850" s="25" t="s">
        <v>2205</v>
      </c>
      <c r="B1850" s="25" t="s">
        <v>2206</v>
      </c>
      <c r="C1850" s="29" t="s">
        <v>768</v>
      </c>
      <c r="D1850" s="29" t="n">
        <v>6</v>
      </c>
      <c r="E1850" s="31" t="n">
        <v>7698</v>
      </c>
      <c r="F1850" s="31" t="n">
        <v>1146</v>
      </c>
      <c r="G1850" s="37" t="n">
        <v>0.148869836321122</v>
      </c>
    </row>
    <row r="1851" customFormat="false" ht="15" hidden="false" customHeight="false" outlineLevel="0" collapsed="false">
      <c r="A1851" s="20" t="s">
        <v>2207</v>
      </c>
      <c r="B1851" s="20" t="s">
        <v>194</v>
      </c>
      <c r="C1851" s="9" t="s">
        <v>485</v>
      </c>
      <c r="D1851" s="9" t="n">
        <v>3</v>
      </c>
      <c r="E1851" s="30" t="n">
        <v>7680</v>
      </c>
      <c r="F1851" s="30" t="n">
        <v>4617</v>
      </c>
      <c r="G1851" s="35" t="n">
        <v>0.601171875</v>
      </c>
    </row>
    <row r="1852" customFormat="false" ht="15" hidden="false" customHeight="false" outlineLevel="0" collapsed="false">
      <c r="A1852" s="25" t="s">
        <v>2208</v>
      </c>
      <c r="B1852" s="25" t="s">
        <v>194</v>
      </c>
      <c r="C1852" s="29" t="s">
        <v>197</v>
      </c>
      <c r="D1852" s="29" t="n">
        <v>1</v>
      </c>
      <c r="E1852" s="31" t="n">
        <v>7679</v>
      </c>
      <c r="F1852" s="31" t="n">
        <v>4480</v>
      </c>
      <c r="G1852" s="37" t="n">
        <v>0.583409298085688</v>
      </c>
    </row>
    <row r="1853" customFormat="false" ht="15" hidden="false" customHeight="false" outlineLevel="0" collapsed="false">
      <c r="A1853" s="20" t="s">
        <v>2209</v>
      </c>
      <c r="B1853" s="20" t="s">
        <v>194</v>
      </c>
      <c r="C1853" s="9" t="s">
        <v>203</v>
      </c>
      <c r="D1853" s="9" t="n">
        <v>1</v>
      </c>
      <c r="E1853" s="30" t="n">
        <v>7656</v>
      </c>
      <c r="F1853" s="30" t="n">
        <v>2301</v>
      </c>
      <c r="G1853" s="35" t="n">
        <v>0.300548589341693</v>
      </c>
    </row>
    <row r="1854" customFormat="false" ht="15" hidden="false" customHeight="false" outlineLevel="0" collapsed="false">
      <c r="A1854" s="25" t="s">
        <v>2210</v>
      </c>
      <c r="B1854" s="29" t="s">
        <v>253</v>
      </c>
      <c r="C1854" s="29" t="s">
        <v>229</v>
      </c>
      <c r="D1854" s="29" t="n">
        <v>5</v>
      </c>
      <c r="E1854" s="31" t="n">
        <v>7645</v>
      </c>
      <c r="F1854" s="31" t="n">
        <v>1785</v>
      </c>
      <c r="G1854" s="37" t="n">
        <v>0.23348593852191</v>
      </c>
    </row>
    <row r="1855" customFormat="false" ht="15" hidden="false" customHeight="false" outlineLevel="0" collapsed="false">
      <c r="A1855" s="20" t="s">
        <v>2211</v>
      </c>
      <c r="B1855" s="20" t="s">
        <v>1589</v>
      </c>
      <c r="C1855" s="9" t="s">
        <v>197</v>
      </c>
      <c r="D1855" s="9" t="n">
        <v>3</v>
      </c>
      <c r="E1855" s="30" t="n">
        <v>7605</v>
      </c>
      <c r="F1855" s="30" t="n">
        <v>5034</v>
      </c>
      <c r="G1855" s="35" t="n">
        <v>0.661932938856016</v>
      </c>
    </row>
    <row r="1856" customFormat="false" ht="15" hidden="false" customHeight="false" outlineLevel="0" collapsed="false">
      <c r="A1856" s="25" t="s">
        <v>2212</v>
      </c>
      <c r="B1856" s="25" t="s">
        <v>332</v>
      </c>
      <c r="C1856" s="29" t="s">
        <v>428</v>
      </c>
      <c r="D1856" s="29" t="n">
        <v>3</v>
      </c>
      <c r="E1856" s="31" t="n">
        <v>7602</v>
      </c>
      <c r="F1856" s="31" t="n">
        <v>2280</v>
      </c>
      <c r="G1856" s="37" t="n">
        <v>0.299921073401736</v>
      </c>
    </row>
    <row r="1857" customFormat="false" ht="15" hidden="false" customHeight="false" outlineLevel="0" collapsed="false">
      <c r="A1857" s="20" t="s">
        <v>2213</v>
      </c>
      <c r="B1857" s="9" t="s">
        <v>253</v>
      </c>
      <c r="C1857" s="9" t="s">
        <v>428</v>
      </c>
      <c r="D1857" s="9" t="n">
        <v>8</v>
      </c>
      <c r="E1857" s="30" t="n">
        <v>7576</v>
      </c>
      <c r="F1857" s="30" t="n">
        <v>4712</v>
      </c>
      <c r="G1857" s="35" t="n">
        <v>0.621964097148891</v>
      </c>
    </row>
    <row r="1858" customFormat="false" ht="15" hidden="false" customHeight="false" outlineLevel="0" collapsed="false">
      <c r="A1858" s="25" t="s">
        <v>2214</v>
      </c>
      <c r="B1858" s="25" t="s">
        <v>194</v>
      </c>
      <c r="C1858" s="29" t="s">
        <v>223</v>
      </c>
      <c r="D1858" s="29" t="n">
        <v>1</v>
      </c>
      <c r="E1858" s="31" t="n">
        <v>7569</v>
      </c>
      <c r="F1858" s="31" t="n">
        <v>3469</v>
      </c>
      <c r="G1858" s="37" t="n">
        <v>0.458316818602193</v>
      </c>
    </row>
    <row r="1859" customFormat="false" ht="15" hidden="false" customHeight="false" outlineLevel="0" collapsed="false">
      <c r="A1859" s="20" t="s">
        <v>2215</v>
      </c>
      <c r="B1859" s="20" t="s">
        <v>2216</v>
      </c>
      <c r="C1859" s="9" t="s">
        <v>368</v>
      </c>
      <c r="D1859" s="9" t="n">
        <v>36</v>
      </c>
      <c r="E1859" s="30" t="n">
        <v>7560</v>
      </c>
      <c r="F1859" s="30" t="n">
        <v>1128</v>
      </c>
      <c r="G1859" s="35" t="n">
        <v>0.149206349206349</v>
      </c>
    </row>
    <row r="1860" customFormat="false" ht="15" hidden="false" customHeight="false" outlineLevel="0" collapsed="false">
      <c r="A1860" s="25" t="s">
        <v>2217</v>
      </c>
      <c r="B1860" s="25" t="s">
        <v>2218</v>
      </c>
      <c r="C1860" s="29" t="s">
        <v>229</v>
      </c>
      <c r="D1860" s="29" t="n">
        <v>1</v>
      </c>
      <c r="E1860" s="31" t="n">
        <v>7545</v>
      </c>
      <c r="F1860" s="31" t="n">
        <v>-916</v>
      </c>
      <c r="G1860" s="37" t="n">
        <v>-0.121404903909874</v>
      </c>
    </row>
    <row r="1861" customFormat="false" ht="15" hidden="false" customHeight="false" outlineLevel="0" collapsed="false">
      <c r="A1861" s="20" t="s">
        <v>2219</v>
      </c>
      <c r="B1861" s="20" t="s">
        <v>194</v>
      </c>
      <c r="C1861" s="9" t="s">
        <v>368</v>
      </c>
      <c r="D1861" s="9" t="n">
        <v>9</v>
      </c>
      <c r="E1861" s="30" t="n">
        <v>7542</v>
      </c>
      <c r="F1861" s="30" t="n">
        <v>-1145</v>
      </c>
      <c r="G1861" s="35" t="n">
        <v>-0.151816494298595</v>
      </c>
    </row>
    <row r="1862" customFormat="false" ht="15" hidden="false" customHeight="false" outlineLevel="0" collapsed="false">
      <c r="A1862" s="25" t="s">
        <v>2220</v>
      </c>
      <c r="B1862" s="25" t="s">
        <v>240</v>
      </c>
      <c r="C1862" s="29" t="s">
        <v>634</v>
      </c>
      <c r="D1862" s="29" t="n">
        <v>4</v>
      </c>
      <c r="E1862" s="31" t="n">
        <v>7540</v>
      </c>
      <c r="F1862" s="31" t="n">
        <v>1260</v>
      </c>
      <c r="G1862" s="37" t="n">
        <v>0.16710875331565</v>
      </c>
    </row>
    <row r="1863" customFormat="false" ht="15" hidden="false" customHeight="false" outlineLevel="0" collapsed="false">
      <c r="A1863" s="20" t="s">
        <v>2221</v>
      </c>
      <c r="B1863" s="20" t="s">
        <v>194</v>
      </c>
      <c r="C1863" s="9" t="s">
        <v>195</v>
      </c>
      <c r="D1863" s="9" t="n">
        <v>1</v>
      </c>
      <c r="E1863" s="30" t="n">
        <v>7529</v>
      </c>
      <c r="F1863" s="30" t="n">
        <v>3099</v>
      </c>
      <c r="G1863" s="35" t="n">
        <v>0.411608447336964</v>
      </c>
    </row>
    <row r="1864" customFormat="false" ht="15" hidden="false" customHeight="false" outlineLevel="0" collapsed="false">
      <c r="A1864" s="25" t="s">
        <v>2222</v>
      </c>
      <c r="B1864" s="25" t="s">
        <v>200</v>
      </c>
      <c r="C1864" s="29" t="s">
        <v>880</v>
      </c>
      <c r="D1864" s="29" t="n">
        <v>4</v>
      </c>
      <c r="E1864" s="31" t="n">
        <v>7528</v>
      </c>
      <c r="F1864" s="31" t="n">
        <v>1129</v>
      </c>
      <c r="G1864" s="37" t="n">
        <v>0.149973432518597</v>
      </c>
    </row>
    <row r="1865" customFormat="false" ht="15" hidden="false" customHeight="false" outlineLevel="0" collapsed="false">
      <c r="A1865" s="20" t="s">
        <v>2223</v>
      </c>
      <c r="B1865" s="20" t="s">
        <v>1854</v>
      </c>
      <c r="C1865" s="9" t="s">
        <v>195</v>
      </c>
      <c r="D1865" s="9" t="n">
        <v>150</v>
      </c>
      <c r="E1865" s="30" t="n">
        <v>7500</v>
      </c>
      <c r="F1865" s="30" t="n">
        <v>1125</v>
      </c>
      <c r="G1865" s="35" t="n">
        <v>0.15</v>
      </c>
    </row>
    <row r="1866" customFormat="false" ht="15" hidden="false" customHeight="false" outlineLevel="0" collapsed="false">
      <c r="A1866" s="25" t="s">
        <v>2224</v>
      </c>
      <c r="B1866" s="25" t="s">
        <v>194</v>
      </c>
      <c r="C1866" s="29" t="s">
        <v>439</v>
      </c>
      <c r="D1866" s="29" t="n">
        <v>1</v>
      </c>
      <c r="E1866" s="31" t="n">
        <v>7477</v>
      </c>
      <c r="F1866" s="31" t="n">
        <v>1122</v>
      </c>
      <c r="G1866" s="37" t="n">
        <v>0.150060184566002</v>
      </c>
    </row>
    <row r="1867" customFormat="false" ht="15" hidden="false" customHeight="false" outlineLevel="0" collapsed="false">
      <c r="A1867" s="20" t="s">
        <v>2225</v>
      </c>
      <c r="B1867" s="20" t="s">
        <v>194</v>
      </c>
      <c r="C1867" s="9" t="s">
        <v>203</v>
      </c>
      <c r="D1867" s="9" t="n">
        <v>4</v>
      </c>
      <c r="E1867" s="30" t="n">
        <v>7476</v>
      </c>
      <c r="F1867" s="30" t="n">
        <v>1472</v>
      </c>
      <c r="G1867" s="35" t="n">
        <v>0.196896736222579</v>
      </c>
    </row>
    <row r="1868" customFormat="false" ht="15" hidden="false" customHeight="false" outlineLevel="0" collapsed="false">
      <c r="A1868" s="25" t="s">
        <v>2226</v>
      </c>
      <c r="B1868" s="25" t="s">
        <v>332</v>
      </c>
      <c r="C1868" s="29" t="s">
        <v>439</v>
      </c>
      <c r="D1868" s="29" t="n">
        <v>1</v>
      </c>
      <c r="E1868" s="31" t="n">
        <v>7467</v>
      </c>
      <c r="F1868" s="31" t="n">
        <v>2669</v>
      </c>
      <c r="G1868" s="37" t="n">
        <v>0.357439400026785</v>
      </c>
    </row>
    <row r="1869" customFormat="false" ht="15" hidden="false" customHeight="false" outlineLevel="0" collapsed="false">
      <c r="A1869" s="20" t="s">
        <v>2227</v>
      </c>
      <c r="B1869" s="20" t="s">
        <v>240</v>
      </c>
      <c r="C1869" s="9" t="s">
        <v>1020</v>
      </c>
      <c r="D1869" s="9" t="n">
        <v>2</v>
      </c>
      <c r="E1869" s="30" t="n">
        <v>7464</v>
      </c>
      <c r="F1869" s="30" t="n">
        <v>1120</v>
      </c>
      <c r="G1869" s="35" t="n">
        <v>0.15005359056806</v>
      </c>
    </row>
    <row r="1870" customFormat="false" ht="15" hidden="false" customHeight="false" outlineLevel="0" collapsed="false">
      <c r="A1870" s="25" t="s">
        <v>2228</v>
      </c>
      <c r="B1870" s="25" t="s">
        <v>200</v>
      </c>
      <c r="C1870" s="29" t="s">
        <v>428</v>
      </c>
      <c r="D1870" s="29" t="n">
        <v>3</v>
      </c>
      <c r="E1870" s="31" t="n">
        <v>7440</v>
      </c>
      <c r="F1870" s="31" t="n">
        <v>4635</v>
      </c>
      <c r="G1870" s="37" t="n">
        <v>0.622983870967742</v>
      </c>
    </row>
    <row r="1871" customFormat="false" ht="15" hidden="false" customHeight="false" outlineLevel="0" collapsed="false">
      <c r="A1871" s="20" t="s">
        <v>2229</v>
      </c>
      <c r="B1871" s="20" t="s">
        <v>194</v>
      </c>
      <c r="C1871" s="9" t="s">
        <v>258</v>
      </c>
      <c r="D1871" s="9" t="n">
        <v>5</v>
      </c>
      <c r="E1871" s="30" t="n">
        <v>7425</v>
      </c>
      <c r="F1871" s="30" t="n">
        <v>-1085</v>
      </c>
      <c r="G1871" s="35" t="n">
        <v>-0.146127946127946</v>
      </c>
    </row>
    <row r="1872" customFormat="false" ht="15" hidden="false" customHeight="false" outlineLevel="0" collapsed="false">
      <c r="A1872" s="25" t="s">
        <v>2230</v>
      </c>
      <c r="B1872" s="25" t="s">
        <v>194</v>
      </c>
      <c r="C1872" s="29" t="s">
        <v>217</v>
      </c>
      <c r="D1872" s="29" t="n">
        <v>2</v>
      </c>
      <c r="E1872" s="31" t="n">
        <v>7422</v>
      </c>
      <c r="F1872" s="31" t="n">
        <v>2620</v>
      </c>
      <c r="G1872" s="37" t="n">
        <v>0.353004580975478</v>
      </c>
    </row>
    <row r="1873" customFormat="false" ht="15" hidden="false" customHeight="false" outlineLevel="0" collapsed="false">
      <c r="A1873" s="20" t="s">
        <v>2231</v>
      </c>
      <c r="B1873" s="20" t="s">
        <v>194</v>
      </c>
      <c r="C1873" s="9" t="s">
        <v>203</v>
      </c>
      <c r="D1873" s="9" t="n">
        <v>4</v>
      </c>
      <c r="E1873" s="30" t="n">
        <v>7412</v>
      </c>
      <c r="F1873" s="30" t="n">
        <v>2536</v>
      </c>
      <c r="G1873" s="35" t="n">
        <v>0.342147868321641</v>
      </c>
    </row>
    <row r="1874" customFormat="false" ht="15" hidden="false" customHeight="false" outlineLevel="0" collapsed="false">
      <c r="A1874" s="25" t="s">
        <v>2232</v>
      </c>
      <c r="B1874" s="25" t="s">
        <v>194</v>
      </c>
      <c r="C1874" s="29" t="s">
        <v>223</v>
      </c>
      <c r="D1874" s="29" t="n">
        <v>5</v>
      </c>
      <c r="E1874" s="31" t="n">
        <v>7410</v>
      </c>
      <c r="F1874" s="31" t="n">
        <v>1110</v>
      </c>
      <c r="G1874" s="37" t="n">
        <v>0.149797570850202</v>
      </c>
    </row>
    <row r="1875" customFormat="false" ht="15" hidden="false" customHeight="false" outlineLevel="0" collapsed="false">
      <c r="A1875" s="20" t="s">
        <v>2233</v>
      </c>
      <c r="B1875" s="20" t="s">
        <v>200</v>
      </c>
      <c r="C1875" s="9" t="s">
        <v>223</v>
      </c>
      <c r="D1875" s="9" t="n">
        <v>9</v>
      </c>
      <c r="E1875" s="30" t="n">
        <v>7398</v>
      </c>
      <c r="F1875" s="30" t="n">
        <v>1611</v>
      </c>
      <c r="G1875" s="35" t="n">
        <v>0.217761557177616</v>
      </c>
    </row>
    <row r="1876" customFormat="false" ht="15" hidden="false" customHeight="false" outlineLevel="0" collapsed="false">
      <c r="A1876" s="25" t="s">
        <v>2234</v>
      </c>
      <c r="B1876" s="25" t="s">
        <v>194</v>
      </c>
      <c r="C1876" s="29" t="s">
        <v>2160</v>
      </c>
      <c r="D1876" s="29" t="n">
        <v>9</v>
      </c>
      <c r="E1876" s="31" t="n">
        <v>7389</v>
      </c>
      <c r="F1876" s="31" t="n">
        <v>1108</v>
      </c>
      <c r="G1876" s="37" t="n">
        <v>0.149952632291244</v>
      </c>
    </row>
    <row r="1877" customFormat="false" ht="15" hidden="false" customHeight="false" outlineLevel="0" collapsed="false">
      <c r="A1877" s="20" t="s">
        <v>2235</v>
      </c>
      <c r="B1877" s="9" t="s">
        <v>281</v>
      </c>
      <c r="C1877" s="9" t="s">
        <v>197</v>
      </c>
      <c r="D1877" s="9" t="n">
        <v>2</v>
      </c>
      <c r="E1877" s="30" t="n">
        <v>7388</v>
      </c>
      <c r="F1877" s="30" t="n">
        <v>4250</v>
      </c>
      <c r="G1877" s="35" t="n">
        <v>0.575257173795344</v>
      </c>
    </row>
    <row r="1878" customFormat="false" ht="15" hidden="false" customHeight="false" outlineLevel="0" collapsed="false">
      <c r="A1878" s="25" t="s">
        <v>2236</v>
      </c>
      <c r="B1878" s="25" t="s">
        <v>194</v>
      </c>
      <c r="C1878" s="29" t="s">
        <v>368</v>
      </c>
      <c r="D1878" s="29" t="n">
        <v>6</v>
      </c>
      <c r="E1878" s="31" t="n">
        <v>7386</v>
      </c>
      <c r="F1878" s="31" t="n">
        <v>1110</v>
      </c>
      <c r="G1878" s="37" t="n">
        <v>0.150284321689683</v>
      </c>
    </row>
    <row r="1879" customFormat="false" ht="15" hidden="false" customHeight="false" outlineLevel="0" collapsed="false">
      <c r="A1879" s="20" t="s">
        <v>2237</v>
      </c>
      <c r="B1879" s="20" t="s">
        <v>194</v>
      </c>
      <c r="C1879" s="9" t="s">
        <v>334</v>
      </c>
      <c r="D1879" s="9" t="n">
        <v>14</v>
      </c>
      <c r="E1879" s="30" t="n">
        <v>7378</v>
      </c>
      <c r="F1879" s="30" t="n">
        <v>1106</v>
      </c>
      <c r="G1879" s="35" t="n">
        <v>0.149905123339658</v>
      </c>
    </row>
    <row r="1880" customFormat="false" ht="15" hidden="false" customHeight="false" outlineLevel="0" collapsed="false">
      <c r="A1880" s="25" t="s">
        <v>2238</v>
      </c>
      <c r="B1880" s="25" t="s">
        <v>194</v>
      </c>
      <c r="C1880" s="29" t="s">
        <v>203</v>
      </c>
      <c r="D1880" s="29" t="n">
        <v>2</v>
      </c>
      <c r="E1880" s="31" t="n">
        <v>7371</v>
      </c>
      <c r="F1880" s="31" t="n">
        <v>1106</v>
      </c>
      <c r="G1880" s="37" t="n">
        <v>0.150047483380817</v>
      </c>
    </row>
    <row r="1881" customFormat="false" ht="15" hidden="false" customHeight="false" outlineLevel="0" collapsed="false">
      <c r="A1881" s="20" t="s">
        <v>2239</v>
      </c>
      <c r="B1881" s="20" t="s">
        <v>1264</v>
      </c>
      <c r="C1881" s="9" t="s">
        <v>622</v>
      </c>
      <c r="D1881" s="9" t="n">
        <v>1</v>
      </c>
      <c r="E1881" s="30" t="n">
        <v>7352</v>
      </c>
      <c r="F1881" s="30" t="n">
        <v>3739</v>
      </c>
      <c r="G1881" s="35" t="n">
        <v>0.508569096844396</v>
      </c>
    </row>
    <row r="1882" customFormat="false" ht="15" hidden="false" customHeight="false" outlineLevel="0" collapsed="false">
      <c r="A1882" s="25" t="s">
        <v>2240</v>
      </c>
      <c r="B1882" s="25" t="s">
        <v>194</v>
      </c>
      <c r="C1882" s="29" t="s">
        <v>334</v>
      </c>
      <c r="D1882" s="29" t="n">
        <v>16</v>
      </c>
      <c r="E1882" s="31" t="n">
        <v>7344</v>
      </c>
      <c r="F1882" s="31" t="n">
        <v>-1440</v>
      </c>
      <c r="G1882" s="37" t="n">
        <v>-0.196078431372549</v>
      </c>
    </row>
    <row r="1883" customFormat="false" ht="15" hidden="false" customHeight="false" outlineLevel="0" collapsed="false">
      <c r="A1883" s="20" t="s">
        <v>2241</v>
      </c>
      <c r="B1883" s="9" t="s">
        <v>253</v>
      </c>
      <c r="C1883" s="9" t="s">
        <v>223</v>
      </c>
      <c r="D1883" s="9" t="n">
        <v>1</v>
      </c>
      <c r="E1883" s="30" t="n">
        <v>7329</v>
      </c>
      <c r="F1883" s="30" t="n">
        <v>4019</v>
      </c>
      <c r="G1883" s="35" t="n">
        <v>0.548369491062901</v>
      </c>
    </row>
    <row r="1884" customFormat="false" ht="15" hidden="false" customHeight="false" outlineLevel="0" collapsed="false">
      <c r="A1884" s="25" t="s">
        <v>2242</v>
      </c>
      <c r="B1884" s="25" t="s">
        <v>200</v>
      </c>
      <c r="C1884" s="29" t="s">
        <v>368</v>
      </c>
      <c r="D1884" s="29" t="n">
        <v>10</v>
      </c>
      <c r="E1884" s="31" t="n">
        <v>7312</v>
      </c>
      <c r="F1884" s="31" t="n">
        <v>1934</v>
      </c>
      <c r="G1884" s="37" t="n">
        <v>0.264496717724289</v>
      </c>
    </row>
    <row r="1885" customFormat="false" ht="15" hidden="false" customHeight="false" outlineLevel="0" collapsed="false">
      <c r="A1885" s="20" t="s">
        <v>2243</v>
      </c>
      <c r="B1885" s="20" t="s">
        <v>240</v>
      </c>
      <c r="C1885" s="9" t="s">
        <v>768</v>
      </c>
      <c r="D1885" s="9" t="n">
        <v>16</v>
      </c>
      <c r="E1885" s="30" t="n">
        <v>7306</v>
      </c>
      <c r="F1885" s="30" t="n">
        <v>-2198</v>
      </c>
      <c r="G1885" s="35" t="n">
        <v>-0.300848617574596</v>
      </c>
    </row>
    <row r="1886" customFormat="false" ht="15" hidden="false" customHeight="false" outlineLevel="0" collapsed="false">
      <c r="A1886" s="25" t="s">
        <v>2244</v>
      </c>
      <c r="B1886" s="29" t="s">
        <v>2245</v>
      </c>
      <c r="C1886" s="29" t="s">
        <v>290</v>
      </c>
      <c r="D1886" s="29" t="n">
        <v>2</v>
      </c>
      <c r="E1886" s="31" t="n">
        <v>7300</v>
      </c>
      <c r="F1886" s="31" t="n">
        <v>6000</v>
      </c>
      <c r="G1886" s="37" t="n">
        <v>0.821917808219178</v>
      </c>
    </row>
    <row r="1887" customFormat="false" ht="15" hidden="false" customHeight="false" outlineLevel="0" collapsed="false">
      <c r="A1887" s="20" t="s">
        <v>2246</v>
      </c>
      <c r="B1887" s="20" t="s">
        <v>194</v>
      </c>
      <c r="C1887" s="9" t="s">
        <v>223</v>
      </c>
      <c r="D1887" s="9" t="n">
        <v>4</v>
      </c>
      <c r="E1887" s="30" t="n">
        <v>7254</v>
      </c>
      <c r="F1887" s="30" t="n">
        <v>1918</v>
      </c>
      <c r="G1887" s="35" t="n">
        <v>0.264405845051006</v>
      </c>
    </row>
    <row r="1888" customFormat="false" ht="15" hidden="false" customHeight="false" outlineLevel="0" collapsed="false">
      <c r="A1888" s="25" t="s">
        <v>2247</v>
      </c>
      <c r="B1888" s="25" t="s">
        <v>200</v>
      </c>
      <c r="C1888" s="29" t="s">
        <v>223</v>
      </c>
      <c r="D1888" s="29" t="n">
        <v>3</v>
      </c>
      <c r="E1888" s="31" t="n">
        <v>7254</v>
      </c>
      <c r="F1888" s="31" t="n">
        <v>4863</v>
      </c>
      <c r="G1888" s="37" t="n">
        <v>0.670388751033912</v>
      </c>
    </row>
    <row r="1889" customFormat="false" ht="15" hidden="false" customHeight="false" outlineLevel="0" collapsed="false">
      <c r="A1889" s="20" t="s">
        <v>2248</v>
      </c>
      <c r="B1889" s="20" t="s">
        <v>194</v>
      </c>
      <c r="C1889" s="9" t="s">
        <v>485</v>
      </c>
      <c r="D1889" s="9" t="n">
        <v>2</v>
      </c>
      <c r="E1889" s="30" t="n">
        <v>7244</v>
      </c>
      <c r="F1889" s="30" t="n">
        <v>3772</v>
      </c>
      <c r="G1889" s="35" t="n">
        <v>0.52070679182772</v>
      </c>
    </row>
    <row r="1890" customFormat="false" ht="15" hidden="false" customHeight="false" outlineLevel="0" collapsed="false">
      <c r="A1890" s="25" t="s">
        <v>2249</v>
      </c>
      <c r="B1890" s="25" t="s">
        <v>1482</v>
      </c>
      <c r="C1890" s="29" t="s">
        <v>880</v>
      </c>
      <c r="D1890" s="29" t="n">
        <v>8</v>
      </c>
      <c r="E1890" s="31" t="n">
        <v>7208</v>
      </c>
      <c r="F1890" s="31" t="n">
        <v>3248</v>
      </c>
      <c r="G1890" s="37" t="n">
        <v>0.450610432852386</v>
      </c>
    </row>
    <row r="1891" customFormat="false" ht="15" hidden="false" customHeight="false" outlineLevel="0" collapsed="false">
      <c r="A1891" s="20" t="s">
        <v>2250</v>
      </c>
      <c r="B1891" s="9" t="s">
        <v>1218</v>
      </c>
      <c r="C1891" s="9" t="s">
        <v>355</v>
      </c>
      <c r="D1891" s="9" t="n">
        <v>2</v>
      </c>
      <c r="E1891" s="30" t="n">
        <v>7194</v>
      </c>
      <c r="F1891" s="30" t="n">
        <v>1079</v>
      </c>
      <c r="G1891" s="35" t="n">
        <v>0.149986099527384</v>
      </c>
    </row>
    <row r="1892" customFormat="false" ht="15" hidden="false" customHeight="false" outlineLevel="0" collapsed="false">
      <c r="A1892" s="25" t="s">
        <v>2251</v>
      </c>
      <c r="B1892" s="25" t="s">
        <v>332</v>
      </c>
      <c r="C1892" s="29" t="s">
        <v>223</v>
      </c>
      <c r="D1892" s="29" t="n">
        <v>4</v>
      </c>
      <c r="E1892" s="31" t="n">
        <v>7156</v>
      </c>
      <c r="F1892" s="31" t="n">
        <v>1624</v>
      </c>
      <c r="G1892" s="37" t="n">
        <v>0.226942425936277</v>
      </c>
    </row>
    <row r="1893" customFormat="false" ht="15" hidden="false" customHeight="false" outlineLevel="0" collapsed="false">
      <c r="A1893" s="20" t="s">
        <v>2252</v>
      </c>
      <c r="B1893" s="9" t="s">
        <v>253</v>
      </c>
      <c r="C1893" s="9" t="s">
        <v>439</v>
      </c>
      <c r="D1893" s="9" t="n">
        <v>1</v>
      </c>
      <c r="E1893" s="30" t="n">
        <v>7142</v>
      </c>
      <c r="F1893" s="30" t="n">
        <v>4448</v>
      </c>
      <c r="G1893" s="35" t="n">
        <v>0.622794735368244</v>
      </c>
    </row>
    <row r="1894" customFormat="false" ht="15" hidden="false" customHeight="false" outlineLevel="0" collapsed="false">
      <c r="A1894" s="25" t="s">
        <v>2253</v>
      </c>
      <c r="B1894" s="25" t="s">
        <v>194</v>
      </c>
      <c r="C1894" s="29" t="s">
        <v>768</v>
      </c>
      <c r="D1894" s="29" t="n">
        <v>1</v>
      </c>
      <c r="E1894" s="31" t="n">
        <v>7134</v>
      </c>
      <c r="F1894" s="31" t="n">
        <v>1557</v>
      </c>
      <c r="G1894" s="37" t="n">
        <v>0.21825063078217</v>
      </c>
    </row>
    <row r="1895" customFormat="false" ht="15" hidden="false" customHeight="false" outlineLevel="0" collapsed="false">
      <c r="A1895" s="20" t="s">
        <v>2254</v>
      </c>
      <c r="B1895" s="9" t="s">
        <v>253</v>
      </c>
      <c r="C1895" s="9" t="s">
        <v>428</v>
      </c>
      <c r="D1895" s="9" t="n">
        <v>5</v>
      </c>
      <c r="E1895" s="30" t="n">
        <v>7130</v>
      </c>
      <c r="F1895" s="30" t="n">
        <v>2540</v>
      </c>
      <c r="G1895" s="35" t="n">
        <v>0.356241234221599</v>
      </c>
    </row>
    <row r="1896" customFormat="false" ht="15" hidden="false" customHeight="false" outlineLevel="0" collapsed="false">
      <c r="A1896" s="25" t="s">
        <v>2255</v>
      </c>
      <c r="B1896" s="29" t="s">
        <v>253</v>
      </c>
      <c r="C1896" s="29" t="s">
        <v>428</v>
      </c>
      <c r="D1896" s="29" t="n">
        <v>2</v>
      </c>
      <c r="E1896" s="31" t="n">
        <v>7084</v>
      </c>
      <c r="F1896" s="31" t="n">
        <v>5056</v>
      </c>
      <c r="G1896" s="37" t="n">
        <v>0.713721061547149</v>
      </c>
    </row>
    <row r="1897" customFormat="false" ht="15" hidden="false" customHeight="false" outlineLevel="0" collapsed="false">
      <c r="A1897" s="20" t="s">
        <v>2256</v>
      </c>
      <c r="B1897" s="9" t="s">
        <v>216</v>
      </c>
      <c r="C1897" s="9" t="s">
        <v>223</v>
      </c>
      <c r="D1897" s="9" t="n">
        <v>3</v>
      </c>
      <c r="E1897" s="30" t="n">
        <v>7065</v>
      </c>
      <c r="F1897" s="30" t="n">
        <v>1986</v>
      </c>
      <c r="G1897" s="35" t="n">
        <v>0.281104033970276</v>
      </c>
    </row>
    <row r="1898" customFormat="false" ht="15" hidden="false" customHeight="false" outlineLevel="0" collapsed="false">
      <c r="A1898" s="25" t="s">
        <v>2257</v>
      </c>
      <c r="B1898" s="25" t="s">
        <v>194</v>
      </c>
      <c r="C1898" s="29" t="s">
        <v>203</v>
      </c>
      <c r="D1898" s="29" t="n">
        <v>5</v>
      </c>
      <c r="E1898" s="31" t="n">
        <v>7065</v>
      </c>
      <c r="F1898" s="31" t="n">
        <v>5565</v>
      </c>
      <c r="G1898" s="37" t="n">
        <v>0.787685774946922</v>
      </c>
    </row>
    <row r="1899" customFormat="false" ht="15" hidden="false" customHeight="false" outlineLevel="0" collapsed="false">
      <c r="A1899" s="20" t="s">
        <v>2258</v>
      </c>
      <c r="B1899" s="20" t="s">
        <v>194</v>
      </c>
      <c r="C1899" s="9" t="s">
        <v>203</v>
      </c>
      <c r="D1899" s="9" t="n">
        <v>4</v>
      </c>
      <c r="E1899" s="30" t="n">
        <v>7054</v>
      </c>
      <c r="F1899" s="30" t="n">
        <v>1058</v>
      </c>
      <c r="G1899" s="35" t="n">
        <v>0.149985823646158</v>
      </c>
    </row>
    <row r="1900" customFormat="false" ht="15" hidden="false" customHeight="false" outlineLevel="0" collapsed="false">
      <c r="A1900" s="25" t="s">
        <v>2259</v>
      </c>
      <c r="B1900" s="25" t="s">
        <v>194</v>
      </c>
      <c r="C1900" s="29" t="s">
        <v>203</v>
      </c>
      <c r="D1900" s="29" t="n">
        <v>3</v>
      </c>
      <c r="E1900" s="31" t="n">
        <v>7020</v>
      </c>
      <c r="F1900" s="31" t="n">
        <v>4785</v>
      </c>
      <c r="G1900" s="37" t="n">
        <v>0.681623931623932</v>
      </c>
    </row>
    <row r="1901" customFormat="false" ht="15" hidden="false" customHeight="false" outlineLevel="0" collapsed="false">
      <c r="A1901" s="20" t="s">
        <v>2260</v>
      </c>
      <c r="B1901" s="20" t="s">
        <v>194</v>
      </c>
      <c r="C1901" s="9" t="s">
        <v>428</v>
      </c>
      <c r="D1901" s="9" t="n">
        <v>3</v>
      </c>
      <c r="E1901" s="30" t="n">
        <v>7011</v>
      </c>
      <c r="F1901" s="30" t="n">
        <v>2103</v>
      </c>
      <c r="G1901" s="35" t="n">
        <v>0.299957210098417</v>
      </c>
    </row>
    <row r="1902" customFormat="false" ht="15" hidden="false" customHeight="false" outlineLevel="0" collapsed="false">
      <c r="A1902" s="25" t="s">
        <v>2261</v>
      </c>
      <c r="B1902" s="25" t="s">
        <v>194</v>
      </c>
      <c r="C1902" s="29" t="s">
        <v>223</v>
      </c>
      <c r="D1902" s="29" t="n">
        <v>1</v>
      </c>
      <c r="E1902" s="31" t="n">
        <v>7007</v>
      </c>
      <c r="F1902" s="31" t="n">
        <v>1051</v>
      </c>
      <c r="G1902" s="37" t="n">
        <v>0.149992864278579</v>
      </c>
    </row>
    <row r="1903" customFormat="false" ht="15" hidden="false" customHeight="false" outlineLevel="0" collapsed="false">
      <c r="A1903" s="20" t="s">
        <v>2262</v>
      </c>
      <c r="B1903" s="20" t="s">
        <v>194</v>
      </c>
      <c r="C1903" s="9" t="s">
        <v>203</v>
      </c>
      <c r="D1903" s="9" t="n">
        <v>1</v>
      </c>
      <c r="E1903" s="30" t="n">
        <v>7005</v>
      </c>
      <c r="F1903" s="30" t="n">
        <v>1051</v>
      </c>
      <c r="G1903" s="35" t="n">
        <v>0.150035688793719</v>
      </c>
    </row>
    <row r="1904" customFormat="false" ht="15" hidden="false" customHeight="false" outlineLevel="0" collapsed="false">
      <c r="A1904" s="25" t="s">
        <v>2263</v>
      </c>
      <c r="B1904" s="29" t="s">
        <v>253</v>
      </c>
      <c r="C1904" s="29" t="s">
        <v>223</v>
      </c>
      <c r="D1904" s="29" t="n">
        <v>4</v>
      </c>
      <c r="E1904" s="31" t="n">
        <v>6992</v>
      </c>
      <c r="F1904" s="31" t="n">
        <v>1048</v>
      </c>
      <c r="G1904" s="37" t="n">
        <v>0.149885583524027</v>
      </c>
    </row>
    <row r="1905" customFormat="false" ht="15" hidden="false" customHeight="false" outlineLevel="0" collapsed="false">
      <c r="A1905" s="20" t="s">
        <v>2264</v>
      </c>
      <c r="B1905" s="9" t="s">
        <v>253</v>
      </c>
      <c r="C1905" s="9" t="s">
        <v>428</v>
      </c>
      <c r="D1905" s="9" t="n">
        <v>12</v>
      </c>
      <c r="E1905" s="30" t="n">
        <v>6984</v>
      </c>
      <c r="F1905" s="30" t="n">
        <v>2664</v>
      </c>
      <c r="G1905" s="35" t="n">
        <v>0.381443298969072</v>
      </c>
    </row>
    <row r="1906" customFormat="false" ht="15" hidden="false" customHeight="false" outlineLevel="0" collapsed="false">
      <c r="A1906" s="25" t="s">
        <v>2265</v>
      </c>
      <c r="B1906" s="25" t="s">
        <v>194</v>
      </c>
      <c r="C1906" s="29" t="s">
        <v>203</v>
      </c>
      <c r="D1906" s="29" t="n">
        <v>7</v>
      </c>
      <c r="E1906" s="31" t="n">
        <v>6962</v>
      </c>
      <c r="F1906" s="31" t="n">
        <v>1042</v>
      </c>
      <c r="G1906" s="37" t="n">
        <v>0.14966963516231</v>
      </c>
    </row>
    <row r="1907" customFormat="false" ht="15" hidden="false" customHeight="false" outlineLevel="0" collapsed="false">
      <c r="A1907" s="20" t="s">
        <v>2266</v>
      </c>
      <c r="B1907" s="20" t="s">
        <v>200</v>
      </c>
      <c r="C1907" s="9" t="s">
        <v>223</v>
      </c>
      <c r="D1907" s="9" t="n">
        <v>3</v>
      </c>
      <c r="E1907" s="30" t="n">
        <v>6948</v>
      </c>
      <c r="F1907" s="30" t="n">
        <v>1041</v>
      </c>
      <c r="G1907" s="35" t="n">
        <v>0.149827288428325</v>
      </c>
    </row>
    <row r="1908" customFormat="false" ht="15" hidden="false" customHeight="false" outlineLevel="0" collapsed="false">
      <c r="A1908" s="25" t="s">
        <v>2267</v>
      </c>
      <c r="B1908" s="29" t="s">
        <v>253</v>
      </c>
      <c r="C1908" s="29" t="s">
        <v>428</v>
      </c>
      <c r="D1908" s="29" t="n">
        <v>8</v>
      </c>
      <c r="E1908" s="31" t="n">
        <v>6944</v>
      </c>
      <c r="F1908" s="31" t="n">
        <v>3192</v>
      </c>
      <c r="G1908" s="37" t="n">
        <v>0.459677419354839</v>
      </c>
    </row>
    <row r="1909" customFormat="false" ht="15" hidden="false" customHeight="false" outlineLevel="0" collapsed="false">
      <c r="A1909" s="20" t="s">
        <v>2268</v>
      </c>
      <c r="B1909" s="20" t="s">
        <v>194</v>
      </c>
      <c r="C1909" s="9" t="s">
        <v>223</v>
      </c>
      <c r="D1909" s="9" t="n">
        <v>1</v>
      </c>
      <c r="E1909" s="30" t="n">
        <v>6902</v>
      </c>
      <c r="F1909" s="30" t="n">
        <v>3375</v>
      </c>
      <c r="G1909" s="35" t="n">
        <v>0.488988698927847</v>
      </c>
    </row>
    <row r="1910" customFormat="false" ht="15" hidden="false" customHeight="false" outlineLevel="0" collapsed="false">
      <c r="A1910" s="25" t="s">
        <v>2269</v>
      </c>
      <c r="B1910" s="25" t="s">
        <v>194</v>
      </c>
      <c r="C1910" s="29" t="s">
        <v>485</v>
      </c>
      <c r="D1910" s="29" t="n">
        <v>1</v>
      </c>
      <c r="E1910" s="31" t="n">
        <v>6881</v>
      </c>
      <c r="F1910" s="31" t="n">
        <v>3078</v>
      </c>
      <c r="G1910" s="37" t="n">
        <v>0.447318703676791</v>
      </c>
    </row>
    <row r="1911" customFormat="false" ht="15" hidden="false" customHeight="false" outlineLevel="0" collapsed="false">
      <c r="A1911" s="20" t="s">
        <v>2270</v>
      </c>
      <c r="B1911" s="9" t="s">
        <v>253</v>
      </c>
      <c r="C1911" s="9" t="s">
        <v>428</v>
      </c>
      <c r="D1911" s="9" t="n">
        <v>11</v>
      </c>
      <c r="E1911" s="30" t="n">
        <v>6853</v>
      </c>
      <c r="F1911" s="30" t="n">
        <v>2926</v>
      </c>
      <c r="G1911" s="35" t="n">
        <v>0.426966292134831</v>
      </c>
    </row>
    <row r="1912" customFormat="false" ht="15" hidden="false" customHeight="false" outlineLevel="0" collapsed="false">
      <c r="A1912" s="25" t="s">
        <v>2271</v>
      </c>
      <c r="B1912" s="25" t="s">
        <v>200</v>
      </c>
      <c r="C1912" s="29" t="s">
        <v>380</v>
      </c>
      <c r="D1912" s="29" t="n">
        <v>1</v>
      </c>
      <c r="E1912" s="31" t="n">
        <v>6851</v>
      </c>
      <c r="F1912" s="31" t="n">
        <v>715</v>
      </c>
      <c r="G1912" s="37" t="n">
        <v>0.104364326375712</v>
      </c>
    </row>
    <row r="1913" customFormat="false" ht="15" hidden="false" customHeight="false" outlineLevel="0" collapsed="false">
      <c r="A1913" s="20" t="s">
        <v>2272</v>
      </c>
      <c r="B1913" s="20" t="s">
        <v>194</v>
      </c>
      <c r="C1913" s="9" t="s">
        <v>1390</v>
      </c>
      <c r="D1913" s="9" t="n">
        <v>8</v>
      </c>
      <c r="E1913" s="30" t="n">
        <v>6840</v>
      </c>
      <c r="F1913" s="30" t="n">
        <v>1864</v>
      </c>
      <c r="G1913" s="35" t="n">
        <v>0.272514619883041</v>
      </c>
    </row>
    <row r="1914" customFormat="false" ht="15" hidden="false" customHeight="false" outlineLevel="0" collapsed="false">
      <c r="A1914" s="25" t="s">
        <v>2273</v>
      </c>
      <c r="B1914" s="25" t="s">
        <v>2274</v>
      </c>
      <c r="C1914" s="29" t="s">
        <v>203</v>
      </c>
      <c r="D1914" s="29" t="n">
        <v>10</v>
      </c>
      <c r="E1914" s="31" t="n">
        <v>6830</v>
      </c>
      <c r="F1914" s="31" t="n">
        <v>5630</v>
      </c>
      <c r="G1914" s="37" t="n">
        <v>0.824304538799414</v>
      </c>
    </row>
    <row r="1915" customFormat="false" ht="15" hidden="false" customHeight="false" outlineLevel="0" collapsed="false">
      <c r="A1915" s="20" t="s">
        <v>2275</v>
      </c>
      <c r="B1915" s="20" t="s">
        <v>194</v>
      </c>
      <c r="C1915" s="9" t="s">
        <v>485</v>
      </c>
      <c r="D1915" s="9" t="n">
        <v>1</v>
      </c>
      <c r="E1915" s="30" t="n">
        <v>6816</v>
      </c>
      <c r="F1915" s="30" t="n">
        <v>4412</v>
      </c>
      <c r="G1915" s="35" t="n">
        <v>0.647300469483568</v>
      </c>
    </row>
    <row r="1916" customFormat="false" ht="15" hidden="false" customHeight="false" outlineLevel="0" collapsed="false">
      <c r="A1916" s="25" t="s">
        <v>2276</v>
      </c>
      <c r="B1916" s="25" t="s">
        <v>194</v>
      </c>
      <c r="C1916" s="29" t="s">
        <v>231</v>
      </c>
      <c r="D1916" s="29" t="n">
        <v>16</v>
      </c>
      <c r="E1916" s="31" t="n">
        <v>6804</v>
      </c>
      <c r="F1916" s="31" t="n">
        <v>4404</v>
      </c>
      <c r="G1916" s="37" t="n">
        <v>0.647266313932981</v>
      </c>
    </row>
    <row r="1917" customFormat="false" ht="15" hidden="false" customHeight="false" outlineLevel="0" collapsed="false">
      <c r="A1917" s="20" t="s">
        <v>2277</v>
      </c>
      <c r="B1917" s="9" t="s">
        <v>253</v>
      </c>
      <c r="C1917" s="9" t="s">
        <v>428</v>
      </c>
      <c r="D1917" s="9" t="n">
        <v>10</v>
      </c>
      <c r="E1917" s="30" t="n">
        <v>6800</v>
      </c>
      <c r="F1917" s="30" t="n">
        <v>2830</v>
      </c>
      <c r="G1917" s="35" t="n">
        <v>0.416176470588235</v>
      </c>
    </row>
    <row r="1918" customFormat="false" ht="15" hidden="false" customHeight="false" outlineLevel="0" collapsed="false">
      <c r="A1918" s="25" t="s">
        <v>2278</v>
      </c>
      <c r="B1918" s="25" t="s">
        <v>194</v>
      </c>
      <c r="C1918" s="29" t="s">
        <v>223</v>
      </c>
      <c r="D1918" s="29" t="n">
        <v>6</v>
      </c>
      <c r="E1918" s="31" t="n">
        <v>6798</v>
      </c>
      <c r="F1918" s="31" t="n">
        <v>1758</v>
      </c>
      <c r="G1918" s="37" t="n">
        <v>0.258605472197705</v>
      </c>
    </row>
    <row r="1919" customFormat="false" ht="15" hidden="false" customHeight="false" outlineLevel="0" collapsed="false">
      <c r="A1919" s="20" t="s">
        <v>2279</v>
      </c>
      <c r="B1919" s="20" t="s">
        <v>194</v>
      </c>
      <c r="C1919" s="9" t="s">
        <v>223</v>
      </c>
      <c r="D1919" s="9" t="n">
        <v>3</v>
      </c>
      <c r="E1919" s="30" t="n">
        <v>6771</v>
      </c>
      <c r="F1919" s="30" t="n">
        <v>354</v>
      </c>
      <c r="G1919" s="35" t="n">
        <v>0.052281789986708</v>
      </c>
    </row>
    <row r="1920" customFormat="false" ht="15" hidden="false" customHeight="false" outlineLevel="0" collapsed="false">
      <c r="A1920" s="25" t="s">
        <v>2280</v>
      </c>
      <c r="B1920" s="25" t="s">
        <v>2281</v>
      </c>
      <c r="C1920" s="29" t="s">
        <v>880</v>
      </c>
      <c r="D1920" s="29" t="n">
        <v>1</v>
      </c>
      <c r="E1920" s="31" t="n">
        <v>6720</v>
      </c>
      <c r="F1920" s="31" t="n">
        <v>1008</v>
      </c>
      <c r="G1920" s="37" t="n">
        <v>0.15</v>
      </c>
    </row>
    <row r="1921" customFormat="false" ht="15" hidden="false" customHeight="false" outlineLevel="0" collapsed="false">
      <c r="A1921" s="20" t="s">
        <v>2282</v>
      </c>
      <c r="B1921" s="9" t="s">
        <v>216</v>
      </c>
      <c r="C1921" s="9" t="s">
        <v>334</v>
      </c>
      <c r="D1921" s="9" t="n">
        <v>14</v>
      </c>
      <c r="E1921" s="30" t="n">
        <v>6720</v>
      </c>
      <c r="F1921" s="30" t="n">
        <v>1008</v>
      </c>
      <c r="G1921" s="35" t="n">
        <v>0.15</v>
      </c>
    </row>
    <row r="1922" customFormat="false" ht="15" hidden="false" customHeight="false" outlineLevel="0" collapsed="false">
      <c r="A1922" s="25" t="s">
        <v>2283</v>
      </c>
      <c r="B1922" s="25" t="s">
        <v>194</v>
      </c>
      <c r="C1922" s="29" t="s">
        <v>334</v>
      </c>
      <c r="D1922" s="29" t="n">
        <v>4</v>
      </c>
      <c r="E1922" s="31" t="n">
        <v>6712</v>
      </c>
      <c r="F1922" s="31" t="n">
        <v>1600</v>
      </c>
      <c r="G1922" s="37" t="n">
        <v>0.238379022646007</v>
      </c>
    </row>
    <row r="1923" customFormat="false" ht="15" hidden="false" customHeight="false" outlineLevel="0" collapsed="false">
      <c r="A1923" s="20" t="s">
        <v>2284</v>
      </c>
      <c r="B1923" s="20" t="s">
        <v>194</v>
      </c>
      <c r="C1923" s="9" t="s">
        <v>223</v>
      </c>
      <c r="D1923" s="9" t="n">
        <v>3</v>
      </c>
      <c r="E1923" s="30" t="n">
        <v>6687</v>
      </c>
      <c r="F1923" s="30" t="n">
        <v>2379</v>
      </c>
      <c r="G1923" s="35" t="n">
        <v>0.35576491700314</v>
      </c>
    </row>
    <row r="1924" customFormat="false" ht="15" hidden="false" customHeight="false" outlineLevel="0" collapsed="false">
      <c r="A1924" s="25" t="s">
        <v>2285</v>
      </c>
      <c r="B1924" s="25" t="s">
        <v>194</v>
      </c>
      <c r="C1924" s="29" t="s">
        <v>203</v>
      </c>
      <c r="D1924" s="29" t="n">
        <v>3</v>
      </c>
      <c r="E1924" s="31" t="n">
        <v>6681</v>
      </c>
      <c r="F1924" s="31" t="n">
        <v>1002</v>
      </c>
      <c r="G1924" s="37" t="n">
        <v>0.149977548271217</v>
      </c>
    </row>
    <row r="1925" customFormat="false" ht="15" hidden="false" customHeight="false" outlineLevel="0" collapsed="false">
      <c r="A1925" s="20" t="s">
        <v>2286</v>
      </c>
      <c r="B1925" s="20" t="s">
        <v>200</v>
      </c>
      <c r="C1925" s="9" t="s">
        <v>428</v>
      </c>
      <c r="D1925" s="9" t="n">
        <v>2</v>
      </c>
      <c r="E1925" s="30" t="n">
        <v>6676</v>
      </c>
      <c r="F1925" s="30" t="n">
        <v>2124</v>
      </c>
      <c r="G1925" s="35" t="n">
        <v>0.318154583582984</v>
      </c>
    </row>
    <row r="1926" customFormat="false" ht="15" hidden="false" customHeight="false" outlineLevel="0" collapsed="false">
      <c r="A1926" s="25" t="s">
        <v>2287</v>
      </c>
      <c r="B1926" s="25" t="s">
        <v>194</v>
      </c>
      <c r="C1926" s="29" t="s">
        <v>231</v>
      </c>
      <c r="D1926" s="29" t="n">
        <v>2</v>
      </c>
      <c r="E1926" s="31" t="n">
        <v>6662</v>
      </c>
      <c r="F1926" s="31" t="n">
        <v>-158</v>
      </c>
      <c r="G1926" s="37" t="n">
        <v>-0.0237166016211347</v>
      </c>
    </row>
    <row r="1927" customFormat="false" ht="15" hidden="false" customHeight="false" outlineLevel="0" collapsed="false">
      <c r="A1927" s="20" t="s">
        <v>2288</v>
      </c>
      <c r="B1927" s="20" t="s">
        <v>194</v>
      </c>
      <c r="C1927" s="9" t="s">
        <v>880</v>
      </c>
      <c r="D1927" s="9" t="n">
        <v>1</v>
      </c>
      <c r="E1927" s="30" t="n">
        <v>6643</v>
      </c>
      <c r="F1927" s="30" t="n">
        <v>996</v>
      </c>
      <c r="G1927" s="35" t="n">
        <v>0.149932259521301</v>
      </c>
    </row>
    <row r="1928" customFormat="false" ht="15" hidden="false" customHeight="false" outlineLevel="0" collapsed="false">
      <c r="A1928" s="25" t="s">
        <v>2289</v>
      </c>
      <c r="B1928" s="25" t="s">
        <v>240</v>
      </c>
      <c r="C1928" s="29" t="s">
        <v>368</v>
      </c>
      <c r="D1928" s="29" t="n">
        <v>6</v>
      </c>
      <c r="E1928" s="31" t="n">
        <v>6630</v>
      </c>
      <c r="F1928" s="31" t="n">
        <v>995</v>
      </c>
      <c r="G1928" s="37" t="n">
        <v>0.150075414781297</v>
      </c>
    </row>
    <row r="1929" customFormat="false" ht="15" hidden="false" customHeight="false" outlineLevel="0" collapsed="false">
      <c r="A1929" s="20" t="s">
        <v>2290</v>
      </c>
      <c r="B1929" s="20" t="s">
        <v>194</v>
      </c>
      <c r="C1929" s="9" t="s">
        <v>768</v>
      </c>
      <c r="D1929" s="9" t="n">
        <v>1</v>
      </c>
      <c r="E1929" s="30" t="n">
        <v>6570</v>
      </c>
      <c r="F1929" s="30" t="n">
        <v>860</v>
      </c>
      <c r="G1929" s="35" t="n">
        <v>0.13089802130898</v>
      </c>
    </row>
    <row r="1930" customFormat="false" ht="15" hidden="false" customHeight="false" outlineLevel="0" collapsed="false">
      <c r="A1930" s="25" t="s">
        <v>2291</v>
      </c>
      <c r="B1930" s="25" t="s">
        <v>2292</v>
      </c>
      <c r="C1930" s="29" t="s">
        <v>231</v>
      </c>
      <c r="D1930" s="29" t="n">
        <v>262</v>
      </c>
      <c r="E1930" s="31" t="n">
        <v>6562</v>
      </c>
      <c r="F1930" s="31" t="n">
        <v>985</v>
      </c>
      <c r="G1930" s="37" t="n">
        <v>0.15010667479427</v>
      </c>
    </row>
    <row r="1931" customFormat="false" ht="15" hidden="false" customHeight="false" outlineLevel="0" collapsed="false">
      <c r="A1931" s="20" t="s">
        <v>2293</v>
      </c>
      <c r="B1931" s="9" t="s">
        <v>253</v>
      </c>
      <c r="C1931" s="9" t="s">
        <v>223</v>
      </c>
      <c r="D1931" s="9" t="n">
        <v>1</v>
      </c>
      <c r="E1931" s="30" t="n">
        <v>6559</v>
      </c>
      <c r="F1931" s="30" t="n">
        <v>3644</v>
      </c>
      <c r="G1931" s="35" t="n">
        <v>0.555572495807288</v>
      </c>
    </row>
    <row r="1932" customFormat="false" ht="15" hidden="false" customHeight="false" outlineLevel="0" collapsed="false">
      <c r="A1932" s="25" t="s">
        <v>2294</v>
      </c>
      <c r="B1932" s="25" t="s">
        <v>194</v>
      </c>
      <c r="C1932" s="29" t="s">
        <v>880</v>
      </c>
      <c r="D1932" s="29" t="n">
        <v>1</v>
      </c>
      <c r="E1932" s="31" t="n">
        <v>6538</v>
      </c>
      <c r="F1932" s="31" t="n">
        <v>981</v>
      </c>
      <c r="G1932" s="37" t="n">
        <v>0.150045885591924</v>
      </c>
    </row>
    <row r="1933" customFormat="false" ht="15" hidden="false" customHeight="false" outlineLevel="0" collapsed="false">
      <c r="A1933" s="20" t="s">
        <v>2295</v>
      </c>
      <c r="B1933" s="20" t="s">
        <v>194</v>
      </c>
      <c r="C1933" s="9" t="s">
        <v>229</v>
      </c>
      <c r="D1933" s="9" t="n">
        <v>4</v>
      </c>
      <c r="E1933" s="30" t="n">
        <v>6532</v>
      </c>
      <c r="F1933" s="30" t="n">
        <v>980</v>
      </c>
      <c r="G1933" s="35" t="n">
        <v>0.15003061849357</v>
      </c>
    </row>
    <row r="1934" customFormat="false" ht="15" hidden="false" customHeight="false" outlineLevel="0" collapsed="false">
      <c r="A1934" s="25" t="s">
        <v>2296</v>
      </c>
      <c r="B1934" s="29" t="s">
        <v>253</v>
      </c>
      <c r="C1934" s="29" t="s">
        <v>428</v>
      </c>
      <c r="D1934" s="29" t="n">
        <v>16</v>
      </c>
      <c r="E1934" s="31" t="n">
        <v>6464</v>
      </c>
      <c r="F1934" s="31" t="n">
        <v>272</v>
      </c>
      <c r="G1934" s="37" t="n">
        <v>0.042079207920792</v>
      </c>
    </row>
    <row r="1935" customFormat="false" ht="15" hidden="false" customHeight="false" outlineLevel="0" collapsed="false">
      <c r="A1935" s="20" t="s">
        <v>2297</v>
      </c>
      <c r="B1935" s="20" t="s">
        <v>200</v>
      </c>
      <c r="C1935" s="9" t="s">
        <v>223</v>
      </c>
      <c r="D1935" s="9" t="n">
        <v>9</v>
      </c>
      <c r="E1935" s="30" t="n">
        <v>6435</v>
      </c>
      <c r="F1935" s="30" t="n">
        <v>1449</v>
      </c>
      <c r="G1935" s="35" t="n">
        <v>0.225174825174825</v>
      </c>
    </row>
    <row r="1936" customFormat="false" ht="15" hidden="false" customHeight="false" outlineLevel="0" collapsed="false">
      <c r="A1936" s="25" t="s">
        <v>2298</v>
      </c>
      <c r="B1936" s="29" t="s">
        <v>2299</v>
      </c>
      <c r="C1936" s="29" t="s">
        <v>2151</v>
      </c>
      <c r="D1936" s="29" t="n">
        <v>1</v>
      </c>
      <c r="E1936" s="31" t="n">
        <v>6427</v>
      </c>
      <c r="F1936" s="31" t="n">
        <v>314</v>
      </c>
      <c r="G1936" s="37" t="n">
        <v>0.0488563871168507</v>
      </c>
    </row>
    <row r="1937" customFormat="false" ht="15" hidden="false" customHeight="false" outlineLevel="0" collapsed="false">
      <c r="A1937" s="20" t="s">
        <v>2300</v>
      </c>
      <c r="B1937" s="20" t="s">
        <v>220</v>
      </c>
      <c r="C1937" s="9" t="s">
        <v>428</v>
      </c>
      <c r="D1937" s="9" t="n">
        <v>4</v>
      </c>
      <c r="E1937" s="30" t="n">
        <v>6412</v>
      </c>
      <c r="F1937" s="30" t="n">
        <v>4012</v>
      </c>
      <c r="G1937" s="35" t="n">
        <v>0.625701809107923</v>
      </c>
    </row>
    <row r="1938" customFormat="false" ht="15" hidden="false" customHeight="false" outlineLevel="0" collapsed="false">
      <c r="A1938" s="25" t="s">
        <v>2301</v>
      </c>
      <c r="B1938" s="29" t="s">
        <v>253</v>
      </c>
      <c r="C1938" s="29" t="s">
        <v>428</v>
      </c>
      <c r="D1938" s="29" t="n">
        <v>6</v>
      </c>
      <c r="E1938" s="31" t="n">
        <v>6396</v>
      </c>
      <c r="F1938" s="31" t="n">
        <v>1380</v>
      </c>
      <c r="G1938" s="37" t="n">
        <v>0.215759849906191</v>
      </c>
    </row>
    <row r="1939" customFormat="false" ht="15" hidden="false" customHeight="false" outlineLevel="0" collapsed="false">
      <c r="A1939" s="20" t="s">
        <v>2302</v>
      </c>
      <c r="B1939" s="9" t="s">
        <v>216</v>
      </c>
      <c r="C1939" s="9" t="s">
        <v>428</v>
      </c>
      <c r="D1939" s="9" t="n">
        <v>8</v>
      </c>
      <c r="E1939" s="30" t="n">
        <v>6392</v>
      </c>
      <c r="F1939" s="30" t="n">
        <v>2232</v>
      </c>
      <c r="G1939" s="35" t="n">
        <v>0.34918648310388</v>
      </c>
    </row>
    <row r="1940" customFormat="false" ht="15" hidden="false" customHeight="false" outlineLevel="0" collapsed="false">
      <c r="A1940" s="25" t="s">
        <v>2303</v>
      </c>
      <c r="B1940" s="29" t="s">
        <v>253</v>
      </c>
      <c r="C1940" s="29" t="s">
        <v>622</v>
      </c>
      <c r="D1940" s="29" t="n">
        <v>1</v>
      </c>
      <c r="E1940" s="31" t="n">
        <v>6358</v>
      </c>
      <c r="F1940" s="31" t="n">
        <v>954</v>
      </c>
      <c r="G1940" s="37" t="n">
        <v>0.150047184649261</v>
      </c>
    </row>
    <row r="1941" customFormat="false" ht="15" hidden="false" customHeight="false" outlineLevel="0" collapsed="false">
      <c r="A1941" s="20" t="s">
        <v>2304</v>
      </c>
      <c r="B1941" s="20" t="s">
        <v>200</v>
      </c>
      <c r="C1941" s="9" t="s">
        <v>223</v>
      </c>
      <c r="D1941" s="9" t="n">
        <v>5</v>
      </c>
      <c r="E1941" s="30" t="n">
        <v>6355</v>
      </c>
      <c r="F1941" s="30" t="n">
        <v>645</v>
      </c>
      <c r="G1941" s="35" t="n">
        <v>0.101494885916601</v>
      </c>
    </row>
    <row r="1942" customFormat="false" ht="15" hidden="false" customHeight="false" outlineLevel="0" collapsed="false">
      <c r="A1942" s="25" t="s">
        <v>2305</v>
      </c>
      <c r="B1942" s="29" t="s">
        <v>216</v>
      </c>
      <c r="C1942" s="29" t="s">
        <v>428</v>
      </c>
      <c r="D1942" s="29" t="n">
        <v>10</v>
      </c>
      <c r="E1942" s="31" t="n">
        <v>6340</v>
      </c>
      <c r="F1942" s="31" t="n">
        <v>2700</v>
      </c>
      <c r="G1942" s="37" t="n">
        <v>0.425867507886435</v>
      </c>
    </row>
    <row r="1943" customFormat="false" ht="15" hidden="false" customHeight="false" outlineLevel="0" collapsed="false">
      <c r="A1943" s="20" t="s">
        <v>2306</v>
      </c>
      <c r="B1943" s="20" t="s">
        <v>194</v>
      </c>
      <c r="C1943" s="9" t="s">
        <v>223</v>
      </c>
      <c r="D1943" s="9" t="n">
        <v>2</v>
      </c>
      <c r="E1943" s="30" t="n">
        <v>6306</v>
      </c>
      <c r="F1943" s="30" t="n">
        <v>1102</v>
      </c>
      <c r="G1943" s="35" t="n">
        <v>0.174754202346971</v>
      </c>
    </row>
    <row r="1944" customFormat="false" ht="15" hidden="false" customHeight="false" outlineLevel="0" collapsed="false">
      <c r="A1944" s="25" t="s">
        <v>2307</v>
      </c>
      <c r="B1944" s="25" t="s">
        <v>194</v>
      </c>
      <c r="C1944" s="29" t="s">
        <v>391</v>
      </c>
      <c r="D1944" s="29" t="n">
        <v>4</v>
      </c>
      <c r="E1944" s="31" t="n">
        <v>6300</v>
      </c>
      <c r="F1944" s="31" t="n">
        <v>1648</v>
      </c>
      <c r="G1944" s="37" t="n">
        <v>0.261587301587302</v>
      </c>
    </row>
    <row r="1945" customFormat="false" ht="15" hidden="false" customHeight="false" outlineLevel="0" collapsed="false">
      <c r="A1945" s="20" t="s">
        <v>2308</v>
      </c>
      <c r="B1945" s="9" t="s">
        <v>253</v>
      </c>
      <c r="C1945" s="9" t="s">
        <v>223</v>
      </c>
      <c r="D1945" s="9" t="n">
        <v>4</v>
      </c>
      <c r="E1945" s="30" t="n">
        <v>6300</v>
      </c>
      <c r="F1945" s="30" t="n">
        <v>1196</v>
      </c>
      <c r="G1945" s="35" t="n">
        <v>0.18984126984127</v>
      </c>
    </row>
    <row r="1946" customFormat="false" ht="15" hidden="false" customHeight="false" outlineLevel="0" collapsed="false">
      <c r="A1946" s="25" t="s">
        <v>2309</v>
      </c>
      <c r="B1946" s="25" t="s">
        <v>194</v>
      </c>
      <c r="C1946" s="29" t="s">
        <v>297</v>
      </c>
      <c r="D1946" s="29" t="n">
        <v>1</v>
      </c>
      <c r="E1946" s="31" t="n">
        <v>6267</v>
      </c>
      <c r="F1946" s="31" t="n">
        <v>940</v>
      </c>
      <c r="G1946" s="37" t="n">
        <v>0.149992021700973</v>
      </c>
    </row>
    <row r="1947" customFormat="false" ht="15" hidden="false" customHeight="false" outlineLevel="0" collapsed="false">
      <c r="A1947" s="20" t="s">
        <v>2310</v>
      </c>
      <c r="B1947" s="20" t="s">
        <v>194</v>
      </c>
      <c r="C1947" s="9" t="s">
        <v>231</v>
      </c>
      <c r="D1947" s="9" t="n">
        <v>2</v>
      </c>
      <c r="E1947" s="30" t="n">
        <v>6266</v>
      </c>
      <c r="F1947" s="30" t="n">
        <v>940</v>
      </c>
      <c r="G1947" s="35" t="n">
        <v>0.15001595914459</v>
      </c>
    </row>
    <row r="1948" customFormat="false" ht="15" hidden="false" customHeight="false" outlineLevel="0" collapsed="false">
      <c r="A1948" s="25" t="s">
        <v>2311</v>
      </c>
      <c r="B1948" s="25" t="s">
        <v>200</v>
      </c>
      <c r="C1948" s="29" t="s">
        <v>880</v>
      </c>
      <c r="D1948" s="29" t="n">
        <v>2</v>
      </c>
      <c r="E1948" s="31" t="n">
        <v>6262</v>
      </c>
      <c r="F1948" s="31" t="n">
        <v>1104</v>
      </c>
      <c r="G1948" s="37" t="n">
        <v>0.176301501117854</v>
      </c>
    </row>
    <row r="1949" customFormat="false" ht="15" hidden="false" customHeight="false" outlineLevel="0" collapsed="false">
      <c r="A1949" s="20" t="s">
        <v>2312</v>
      </c>
      <c r="B1949" s="20" t="s">
        <v>194</v>
      </c>
      <c r="C1949" s="9" t="s">
        <v>223</v>
      </c>
      <c r="D1949" s="9" t="n">
        <v>1</v>
      </c>
      <c r="E1949" s="30" t="n">
        <v>6259</v>
      </c>
      <c r="F1949" s="30" t="n">
        <v>2955</v>
      </c>
      <c r="G1949" s="35" t="n">
        <v>0.472120146988337</v>
      </c>
    </row>
    <row r="1950" customFormat="false" ht="15" hidden="false" customHeight="false" outlineLevel="0" collapsed="false">
      <c r="A1950" s="25" t="s">
        <v>2313</v>
      </c>
      <c r="B1950" s="29" t="s">
        <v>253</v>
      </c>
      <c r="C1950" s="29" t="s">
        <v>254</v>
      </c>
      <c r="D1950" s="29" t="n">
        <v>15</v>
      </c>
      <c r="E1950" s="31" t="n">
        <v>6255</v>
      </c>
      <c r="F1950" s="31" t="n">
        <v>1845</v>
      </c>
      <c r="G1950" s="37" t="n">
        <v>0.294964028776978</v>
      </c>
    </row>
    <row r="1951" customFormat="false" ht="15" hidden="false" customHeight="false" outlineLevel="0" collapsed="false">
      <c r="A1951" s="20" t="s">
        <v>2314</v>
      </c>
      <c r="B1951" s="9" t="s">
        <v>253</v>
      </c>
      <c r="C1951" s="9" t="s">
        <v>254</v>
      </c>
      <c r="D1951" s="9" t="n">
        <v>15</v>
      </c>
      <c r="E1951" s="30" t="n">
        <v>6255</v>
      </c>
      <c r="F1951" s="30" t="n">
        <v>1845</v>
      </c>
      <c r="G1951" s="35" t="n">
        <v>0.294964028776978</v>
      </c>
    </row>
    <row r="1952" customFormat="false" ht="15" hidden="false" customHeight="false" outlineLevel="0" collapsed="false">
      <c r="A1952" s="25" t="s">
        <v>2315</v>
      </c>
      <c r="B1952" s="25" t="s">
        <v>200</v>
      </c>
      <c r="C1952" s="29" t="s">
        <v>428</v>
      </c>
      <c r="D1952" s="29" t="n">
        <v>5</v>
      </c>
      <c r="E1952" s="31" t="n">
        <v>6255</v>
      </c>
      <c r="F1952" s="31" t="n">
        <v>2460</v>
      </c>
      <c r="G1952" s="37" t="n">
        <v>0.393285371702638</v>
      </c>
    </row>
    <row r="1953" customFormat="false" ht="15" hidden="false" customHeight="false" outlineLevel="0" collapsed="false">
      <c r="A1953" s="20" t="s">
        <v>2316</v>
      </c>
      <c r="B1953" s="9" t="s">
        <v>253</v>
      </c>
      <c r="C1953" s="9" t="s">
        <v>254</v>
      </c>
      <c r="D1953" s="9" t="n">
        <v>15</v>
      </c>
      <c r="E1953" s="30" t="n">
        <v>6255</v>
      </c>
      <c r="F1953" s="30" t="n">
        <v>1845</v>
      </c>
      <c r="G1953" s="35" t="n">
        <v>0.294964028776978</v>
      </c>
    </row>
    <row r="1954" customFormat="false" ht="15" hidden="false" customHeight="false" outlineLevel="0" collapsed="false">
      <c r="A1954" s="25" t="s">
        <v>2317</v>
      </c>
      <c r="B1954" s="29" t="s">
        <v>253</v>
      </c>
      <c r="C1954" s="29" t="s">
        <v>254</v>
      </c>
      <c r="D1954" s="29" t="n">
        <v>15</v>
      </c>
      <c r="E1954" s="31" t="n">
        <v>6255</v>
      </c>
      <c r="F1954" s="31" t="n">
        <v>1845</v>
      </c>
      <c r="G1954" s="37" t="n">
        <v>0.294964028776978</v>
      </c>
    </row>
    <row r="1955" customFormat="false" ht="15" hidden="false" customHeight="false" outlineLevel="0" collapsed="false">
      <c r="A1955" s="20" t="s">
        <v>2318</v>
      </c>
      <c r="B1955" s="9" t="s">
        <v>253</v>
      </c>
      <c r="C1955" s="9" t="s">
        <v>428</v>
      </c>
      <c r="D1955" s="9" t="n">
        <v>8</v>
      </c>
      <c r="E1955" s="30" t="n">
        <v>6240</v>
      </c>
      <c r="F1955" s="30" t="n">
        <v>3456</v>
      </c>
      <c r="G1955" s="35" t="n">
        <v>0.553846153846154</v>
      </c>
    </row>
    <row r="1956" customFormat="false" ht="15" hidden="false" customHeight="false" outlineLevel="0" collapsed="false">
      <c r="A1956" s="25" t="s">
        <v>2319</v>
      </c>
      <c r="B1956" s="25" t="s">
        <v>194</v>
      </c>
      <c r="C1956" s="29" t="s">
        <v>203</v>
      </c>
      <c r="D1956" s="29" t="n">
        <v>1</v>
      </c>
      <c r="E1956" s="31" t="n">
        <v>6238</v>
      </c>
      <c r="F1956" s="31" t="n">
        <v>896</v>
      </c>
      <c r="G1956" s="37" t="n">
        <v>0.143635780698942</v>
      </c>
    </row>
    <row r="1957" customFormat="false" ht="15" hidden="false" customHeight="false" outlineLevel="0" collapsed="false">
      <c r="A1957" s="20" t="s">
        <v>2320</v>
      </c>
      <c r="B1957" s="20" t="s">
        <v>194</v>
      </c>
      <c r="C1957" s="9" t="s">
        <v>391</v>
      </c>
      <c r="D1957" s="9" t="n">
        <v>4</v>
      </c>
      <c r="E1957" s="30" t="n">
        <v>6232</v>
      </c>
      <c r="F1957" s="30" t="n">
        <v>712</v>
      </c>
      <c r="G1957" s="35" t="n">
        <v>0.114249037227214</v>
      </c>
    </row>
    <row r="1958" customFormat="false" ht="15" hidden="false" customHeight="false" outlineLevel="0" collapsed="false">
      <c r="A1958" s="25" t="s">
        <v>2321</v>
      </c>
      <c r="B1958" s="25" t="s">
        <v>194</v>
      </c>
      <c r="C1958" s="29" t="s">
        <v>203</v>
      </c>
      <c r="D1958" s="29" t="n">
        <v>1</v>
      </c>
      <c r="E1958" s="31" t="n">
        <v>6218</v>
      </c>
      <c r="F1958" s="31" t="n">
        <v>4718</v>
      </c>
      <c r="G1958" s="37" t="n">
        <v>0.75876487616597</v>
      </c>
    </row>
    <row r="1959" customFormat="false" ht="15" hidden="false" customHeight="false" outlineLevel="0" collapsed="false">
      <c r="A1959" s="20" t="s">
        <v>2322</v>
      </c>
      <c r="B1959" s="20" t="s">
        <v>194</v>
      </c>
      <c r="C1959" s="9" t="s">
        <v>391</v>
      </c>
      <c r="D1959" s="9" t="n">
        <v>4</v>
      </c>
      <c r="E1959" s="30" t="n">
        <v>6208</v>
      </c>
      <c r="F1959" s="30" t="n">
        <v>2736</v>
      </c>
      <c r="G1959" s="35" t="n">
        <v>0.440721649484536</v>
      </c>
    </row>
    <row r="1960" customFormat="false" ht="15" hidden="false" customHeight="false" outlineLevel="0" collapsed="false">
      <c r="A1960" s="25" t="s">
        <v>2323</v>
      </c>
      <c r="B1960" s="25" t="s">
        <v>200</v>
      </c>
      <c r="C1960" s="29" t="s">
        <v>223</v>
      </c>
      <c r="D1960" s="29" t="n">
        <v>9</v>
      </c>
      <c r="E1960" s="31" t="n">
        <v>6201</v>
      </c>
      <c r="F1960" s="31" t="n">
        <v>3951</v>
      </c>
      <c r="G1960" s="37" t="n">
        <v>0.637155297532656</v>
      </c>
    </row>
    <row r="1961" customFormat="false" ht="15" hidden="false" customHeight="false" outlineLevel="0" collapsed="false">
      <c r="A1961" s="20" t="s">
        <v>2324</v>
      </c>
      <c r="B1961" s="20" t="s">
        <v>194</v>
      </c>
      <c r="C1961" s="9" t="s">
        <v>203</v>
      </c>
      <c r="D1961" s="9" t="n">
        <v>3</v>
      </c>
      <c r="E1961" s="30" t="n">
        <v>6165</v>
      </c>
      <c r="F1961" s="30" t="n">
        <v>924</v>
      </c>
      <c r="G1961" s="35" t="n">
        <v>0.149878345498783</v>
      </c>
    </row>
    <row r="1962" customFormat="false" ht="15" hidden="false" customHeight="false" outlineLevel="0" collapsed="false">
      <c r="A1962" s="25" t="s">
        <v>2325</v>
      </c>
      <c r="B1962" s="25" t="s">
        <v>332</v>
      </c>
      <c r="C1962" s="29" t="s">
        <v>428</v>
      </c>
      <c r="D1962" s="29" t="n">
        <v>3</v>
      </c>
      <c r="E1962" s="31" t="n">
        <v>6129</v>
      </c>
      <c r="F1962" s="31" t="n">
        <v>1839</v>
      </c>
      <c r="G1962" s="37" t="n">
        <v>0.30004894762604</v>
      </c>
    </row>
    <row r="1963" customFormat="false" ht="15" hidden="false" customHeight="false" outlineLevel="0" collapsed="false">
      <c r="A1963" s="20" t="s">
        <v>2326</v>
      </c>
      <c r="B1963" s="20" t="s">
        <v>194</v>
      </c>
      <c r="C1963" s="9" t="s">
        <v>223</v>
      </c>
      <c r="D1963" s="9" t="n">
        <v>1</v>
      </c>
      <c r="E1963" s="30" t="n">
        <v>6128</v>
      </c>
      <c r="F1963" s="30" t="n">
        <v>919</v>
      </c>
      <c r="G1963" s="35" t="n">
        <v>0.149967362924282</v>
      </c>
    </row>
    <row r="1964" customFormat="false" ht="15" hidden="false" customHeight="false" outlineLevel="0" collapsed="false">
      <c r="A1964" s="25" t="s">
        <v>2327</v>
      </c>
      <c r="B1964" s="25" t="s">
        <v>200</v>
      </c>
      <c r="C1964" s="29" t="s">
        <v>391</v>
      </c>
      <c r="D1964" s="29" t="n">
        <v>3</v>
      </c>
      <c r="E1964" s="31" t="n">
        <v>6126</v>
      </c>
      <c r="F1964" s="31" t="n">
        <v>5316</v>
      </c>
      <c r="G1964" s="37" t="n">
        <v>0.867776689520078</v>
      </c>
    </row>
    <row r="1965" customFormat="false" ht="15" hidden="false" customHeight="false" outlineLevel="0" collapsed="false">
      <c r="A1965" s="20" t="s">
        <v>2328</v>
      </c>
      <c r="B1965" s="20" t="s">
        <v>200</v>
      </c>
      <c r="C1965" s="9" t="s">
        <v>223</v>
      </c>
      <c r="D1965" s="9" t="n">
        <v>1</v>
      </c>
      <c r="E1965" s="30" t="n">
        <v>6101</v>
      </c>
      <c r="F1965" s="30" t="n">
        <v>915</v>
      </c>
      <c r="G1965" s="35" t="n">
        <v>0.149975413866579</v>
      </c>
    </row>
    <row r="1966" customFormat="false" ht="15" hidden="false" customHeight="false" outlineLevel="0" collapsed="false">
      <c r="A1966" s="25" t="s">
        <v>2329</v>
      </c>
      <c r="B1966" s="25" t="s">
        <v>2330</v>
      </c>
      <c r="C1966" s="29" t="s">
        <v>428</v>
      </c>
      <c r="D1966" s="29" t="n">
        <v>2</v>
      </c>
      <c r="E1966" s="31" t="n">
        <v>6094</v>
      </c>
      <c r="F1966" s="31" t="n">
        <v>2440</v>
      </c>
      <c r="G1966" s="37" t="n">
        <v>0.400393829996718</v>
      </c>
    </row>
    <row r="1967" customFormat="false" ht="15" hidden="false" customHeight="false" outlineLevel="0" collapsed="false">
      <c r="A1967" s="20" t="s">
        <v>2331</v>
      </c>
      <c r="B1967" s="20" t="s">
        <v>240</v>
      </c>
      <c r="C1967" s="9" t="s">
        <v>516</v>
      </c>
      <c r="D1967" s="9" t="n">
        <v>2</v>
      </c>
      <c r="E1967" s="30" t="n">
        <v>6094</v>
      </c>
      <c r="F1967" s="30" t="n">
        <v>914</v>
      </c>
      <c r="G1967" s="35" t="n">
        <v>0.149983590416803</v>
      </c>
    </row>
    <row r="1968" customFormat="false" ht="15" hidden="false" customHeight="false" outlineLevel="0" collapsed="false">
      <c r="A1968" s="25" t="s">
        <v>2332</v>
      </c>
      <c r="B1968" s="25" t="s">
        <v>332</v>
      </c>
      <c r="C1968" s="29" t="s">
        <v>217</v>
      </c>
      <c r="D1968" s="29" t="n">
        <v>1</v>
      </c>
      <c r="E1968" s="31" t="n">
        <v>6091</v>
      </c>
      <c r="F1968" s="31" t="n">
        <v>1497</v>
      </c>
      <c r="G1968" s="37" t="n">
        <v>0.245772451157445</v>
      </c>
    </row>
    <row r="1969" customFormat="false" ht="15" hidden="false" customHeight="false" outlineLevel="0" collapsed="false">
      <c r="A1969" s="20" t="s">
        <v>2333</v>
      </c>
      <c r="B1969" s="9" t="s">
        <v>253</v>
      </c>
      <c r="C1969" s="9" t="s">
        <v>428</v>
      </c>
      <c r="D1969" s="9" t="n">
        <v>4</v>
      </c>
      <c r="E1969" s="30" t="n">
        <v>6084</v>
      </c>
      <c r="F1969" s="30" t="n">
        <v>1352</v>
      </c>
      <c r="G1969" s="35" t="n">
        <v>0.222222222222222</v>
      </c>
    </row>
    <row r="1970" customFormat="false" ht="15" hidden="false" customHeight="false" outlineLevel="0" collapsed="false">
      <c r="A1970" s="25" t="s">
        <v>2334</v>
      </c>
      <c r="B1970" s="25" t="s">
        <v>233</v>
      </c>
      <c r="C1970" s="29" t="s">
        <v>223</v>
      </c>
      <c r="D1970" s="29" t="n">
        <v>7</v>
      </c>
      <c r="E1970" s="31" t="n">
        <v>6083</v>
      </c>
      <c r="F1970" s="31" t="n">
        <v>1414</v>
      </c>
      <c r="G1970" s="37" t="n">
        <v>0.232451093210587</v>
      </c>
    </row>
    <row r="1971" customFormat="false" ht="15" hidden="false" customHeight="false" outlineLevel="0" collapsed="false">
      <c r="A1971" s="20" t="s">
        <v>2335</v>
      </c>
      <c r="B1971" s="20" t="s">
        <v>194</v>
      </c>
      <c r="C1971" s="9" t="s">
        <v>334</v>
      </c>
      <c r="D1971" s="9" t="n">
        <v>4</v>
      </c>
      <c r="E1971" s="30" t="n">
        <v>6080</v>
      </c>
      <c r="F1971" s="30" t="n">
        <v>388</v>
      </c>
      <c r="G1971" s="35" t="n">
        <v>0.0638157894736842</v>
      </c>
    </row>
    <row r="1972" customFormat="false" ht="15" hidden="false" customHeight="false" outlineLevel="0" collapsed="false">
      <c r="A1972" s="25" t="s">
        <v>2336</v>
      </c>
      <c r="B1972" s="25" t="s">
        <v>194</v>
      </c>
      <c r="C1972" s="29" t="s">
        <v>768</v>
      </c>
      <c r="D1972" s="29" t="n">
        <v>1</v>
      </c>
      <c r="E1972" s="31" t="n">
        <v>6077</v>
      </c>
      <c r="F1972" s="31" t="n">
        <v>745</v>
      </c>
      <c r="G1972" s="37" t="n">
        <v>0.122593384893862</v>
      </c>
    </row>
    <row r="1973" customFormat="false" ht="15" hidden="false" customHeight="false" outlineLevel="0" collapsed="false">
      <c r="A1973" s="20" t="s">
        <v>2337</v>
      </c>
      <c r="B1973" s="20" t="s">
        <v>194</v>
      </c>
      <c r="C1973" s="9" t="s">
        <v>223</v>
      </c>
      <c r="D1973" s="9" t="n">
        <v>1</v>
      </c>
      <c r="E1973" s="30" t="n">
        <v>6074</v>
      </c>
      <c r="F1973" s="30" t="n">
        <v>1093</v>
      </c>
      <c r="G1973" s="35" t="n">
        <v>0.179947316430688</v>
      </c>
    </row>
    <row r="1974" customFormat="false" ht="15" hidden="false" customHeight="false" outlineLevel="0" collapsed="false">
      <c r="A1974" s="25" t="s">
        <v>2338</v>
      </c>
      <c r="B1974" s="29" t="s">
        <v>253</v>
      </c>
      <c r="C1974" s="29" t="s">
        <v>428</v>
      </c>
      <c r="D1974" s="29" t="n">
        <v>2</v>
      </c>
      <c r="E1974" s="31" t="n">
        <v>6068</v>
      </c>
      <c r="F1974" s="31" t="n">
        <v>2518</v>
      </c>
      <c r="G1974" s="37" t="n">
        <v>0.414963744232037</v>
      </c>
    </row>
    <row r="1975" customFormat="false" ht="15" hidden="false" customHeight="false" outlineLevel="0" collapsed="false">
      <c r="A1975" s="20" t="s">
        <v>2339</v>
      </c>
      <c r="B1975" s="20" t="s">
        <v>194</v>
      </c>
      <c r="C1975" s="9" t="s">
        <v>297</v>
      </c>
      <c r="D1975" s="9" t="n">
        <v>1</v>
      </c>
      <c r="E1975" s="30" t="n">
        <v>6053</v>
      </c>
      <c r="F1975" s="30" t="n">
        <v>3074</v>
      </c>
      <c r="G1975" s="35" t="n">
        <v>0.50784734842227</v>
      </c>
    </row>
    <row r="1976" customFormat="false" ht="15" hidden="false" customHeight="false" outlineLevel="0" collapsed="false">
      <c r="A1976" s="25" t="s">
        <v>2340</v>
      </c>
      <c r="B1976" s="25" t="s">
        <v>200</v>
      </c>
      <c r="C1976" s="29" t="s">
        <v>297</v>
      </c>
      <c r="D1976" s="29" t="n">
        <v>5</v>
      </c>
      <c r="E1976" s="31" t="n">
        <v>6050</v>
      </c>
      <c r="F1976" s="31" t="n">
        <v>460</v>
      </c>
      <c r="G1976" s="37" t="n">
        <v>0.0760330578512396</v>
      </c>
    </row>
    <row r="1977" customFormat="false" ht="15" hidden="false" customHeight="false" outlineLevel="0" collapsed="false">
      <c r="A1977" s="20" t="s">
        <v>2341</v>
      </c>
      <c r="B1977" s="20" t="s">
        <v>891</v>
      </c>
      <c r="C1977" s="9" t="s">
        <v>229</v>
      </c>
      <c r="D1977" s="9" t="n">
        <v>2</v>
      </c>
      <c r="E1977" s="30" t="n">
        <v>6038</v>
      </c>
      <c r="F1977" s="30" t="n">
        <v>906</v>
      </c>
      <c r="G1977" s="35" t="n">
        <v>0.150049685326267</v>
      </c>
    </row>
    <row r="1978" customFormat="false" ht="15" hidden="false" customHeight="false" outlineLevel="0" collapsed="false">
      <c r="A1978" s="25" t="s">
        <v>2342</v>
      </c>
      <c r="B1978" s="25" t="s">
        <v>194</v>
      </c>
      <c r="C1978" s="29" t="s">
        <v>203</v>
      </c>
      <c r="D1978" s="29" t="n">
        <v>10</v>
      </c>
      <c r="E1978" s="31" t="n">
        <v>6030</v>
      </c>
      <c r="F1978" s="31" t="n">
        <v>-370</v>
      </c>
      <c r="G1978" s="37" t="n">
        <v>-0.0613598673300165</v>
      </c>
    </row>
    <row r="1979" customFormat="false" ht="15" hidden="false" customHeight="false" outlineLevel="0" collapsed="false">
      <c r="A1979" s="20" t="s">
        <v>2343</v>
      </c>
      <c r="B1979" s="20" t="s">
        <v>220</v>
      </c>
      <c r="C1979" s="9" t="s">
        <v>217</v>
      </c>
      <c r="D1979" s="9" t="n">
        <v>5</v>
      </c>
      <c r="E1979" s="30" t="n">
        <v>6015</v>
      </c>
      <c r="F1979" s="30" t="n">
        <v>3475</v>
      </c>
      <c r="G1979" s="35" t="n">
        <v>0.577722360764755</v>
      </c>
    </row>
    <row r="1980" customFormat="false" ht="15" hidden="false" customHeight="false" outlineLevel="0" collapsed="false">
      <c r="A1980" s="25" t="s">
        <v>2344</v>
      </c>
      <c r="B1980" s="25" t="s">
        <v>194</v>
      </c>
      <c r="C1980" s="29" t="s">
        <v>203</v>
      </c>
      <c r="D1980" s="29" t="n">
        <v>4</v>
      </c>
      <c r="E1980" s="31" t="n">
        <v>6012</v>
      </c>
      <c r="F1980" s="31" t="n">
        <v>2684</v>
      </c>
      <c r="G1980" s="37" t="n">
        <v>0.446440452428476</v>
      </c>
    </row>
    <row r="1981" customFormat="false" ht="15" hidden="false" customHeight="false" outlineLevel="0" collapsed="false">
      <c r="A1981" s="20" t="s">
        <v>2345</v>
      </c>
      <c r="B1981" s="20" t="s">
        <v>194</v>
      </c>
      <c r="C1981" s="9" t="s">
        <v>209</v>
      </c>
      <c r="D1981" s="9" t="n">
        <v>18</v>
      </c>
      <c r="E1981" s="30" t="n">
        <v>6012</v>
      </c>
      <c r="F1981" s="30" t="n">
        <v>90</v>
      </c>
      <c r="G1981" s="35" t="n">
        <v>0.0149700598802395</v>
      </c>
    </row>
    <row r="1982" customFormat="false" ht="15" hidden="false" customHeight="false" outlineLevel="0" collapsed="false">
      <c r="A1982" s="25" t="s">
        <v>2346</v>
      </c>
      <c r="B1982" s="25" t="s">
        <v>194</v>
      </c>
      <c r="C1982" s="29" t="s">
        <v>217</v>
      </c>
      <c r="D1982" s="29" t="n">
        <v>1</v>
      </c>
      <c r="E1982" s="31" t="n">
        <v>6011</v>
      </c>
      <c r="F1982" s="31" t="n">
        <v>2294</v>
      </c>
      <c r="G1982" s="37" t="n">
        <v>0.381633671602063</v>
      </c>
    </row>
    <row r="1983" customFormat="false" ht="15" hidden="false" customHeight="false" outlineLevel="0" collapsed="false">
      <c r="A1983" s="20" t="s">
        <v>2347</v>
      </c>
      <c r="B1983" s="9" t="s">
        <v>281</v>
      </c>
      <c r="C1983" s="9" t="s">
        <v>197</v>
      </c>
      <c r="D1983" s="9" t="n">
        <v>3</v>
      </c>
      <c r="E1983" s="30" t="n">
        <v>6006</v>
      </c>
      <c r="F1983" s="30" t="n">
        <v>2754</v>
      </c>
      <c r="G1983" s="35" t="n">
        <v>0.458541458541459</v>
      </c>
    </row>
    <row r="1984" customFormat="false" ht="15" hidden="false" customHeight="false" outlineLevel="0" collapsed="false">
      <c r="A1984" s="25" t="s">
        <v>2348</v>
      </c>
      <c r="B1984" s="25" t="s">
        <v>194</v>
      </c>
      <c r="C1984" s="29" t="s">
        <v>203</v>
      </c>
      <c r="D1984" s="29" t="n">
        <v>2</v>
      </c>
      <c r="E1984" s="31" t="n">
        <v>5984</v>
      </c>
      <c r="F1984" s="31" t="n">
        <v>898</v>
      </c>
      <c r="G1984" s="37" t="n">
        <v>0.150066844919786</v>
      </c>
    </row>
    <row r="1985" customFormat="false" ht="15" hidden="false" customHeight="false" outlineLevel="0" collapsed="false">
      <c r="A1985" s="20" t="s">
        <v>2349</v>
      </c>
      <c r="B1985" s="9" t="s">
        <v>216</v>
      </c>
      <c r="C1985" s="9" t="s">
        <v>428</v>
      </c>
      <c r="D1985" s="9" t="n">
        <v>4</v>
      </c>
      <c r="E1985" s="30" t="n">
        <v>5980</v>
      </c>
      <c r="F1985" s="30" t="n">
        <v>1008</v>
      </c>
      <c r="G1985" s="35" t="n">
        <v>0.168561872909699</v>
      </c>
    </row>
    <row r="1986" customFormat="false" ht="15" hidden="false" customHeight="false" outlineLevel="0" collapsed="false">
      <c r="A1986" s="25" t="s">
        <v>2350</v>
      </c>
      <c r="B1986" s="25" t="s">
        <v>194</v>
      </c>
      <c r="C1986" s="29" t="s">
        <v>880</v>
      </c>
      <c r="D1986" s="29" t="n">
        <v>1</v>
      </c>
      <c r="E1986" s="31" t="n">
        <v>5976</v>
      </c>
      <c r="F1986" s="31" t="n">
        <v>1968</v>
      </c>
      <c r="G1986" s="37" t="n">
        <v>0.329317269076305</v>
      </c>
    </row>
    <row r="1987" customFormat="false" ht="15" hidden="false" customHeight="false" outlineLevel="0" collapsed="false">
      <c r="A1987" s="20" t="s">
        <v>2351</v>
      </c>
      <c r="B1987" s="9" t="s">
        <v>1262</v>
      </c>
      <c r="C1987" s="9" t="s">
        <v>428</v>
      </c>
      <c r="D1987" s="9" t="n">
        <v>3</v>
      </c>
      <c r="E1987" s="30" t="n">
        <v>5973</v>
      </c>
      <c r="F1987" s="30" t="n">
        <v>3873</v>
      </c>
      <c r="G1987" s="35" t="n">
        <v>0.648417880462079</v>
      </c>
    </row>
    <row r="1988" customFormat="false" ht="15" hidden="false" customHeight="false" outlineLevel="0" collapsed="false">
      <c r="A1988" s="25" t="s">
        <v>2352</v>
      </c>
      <c r="B1988" s="25" t="s">
        <v>200</v>
      </c>
      <c r="C1988" s="29" t="s">
        <v>297</v>
      </c>
      <c r="D1988" s="29" t="n">
        <v>1</v>
      </c>
      <c r="E1988" s="31" t="n">
        <v>5943</v>
      </c>
      <c r="F1988" s="31" t="n">
        <v>2471</v>
      </c>
      <c r="G1988" s="37" t="n">
        <v>0.415783274440518</v>
      </c>
    </row>
    <row r="1989" customFormat="false" ht="15" hidden="false" customHeight="false" outlineLevel="0" collapsed="false">
      <c r="A1989" s="20" t="s">
        <v>2353</v>
      </c>
      <c r="B1989" s="20" t="s">
        <v>240</v>
      </c>
      <c r="C1989" s="9" t="s">
        <v>768</v>
      </c>
      <c r="D1989" s="9" t="n">
        <v>5</v>
      </c>
      <c r="E1989" s="30" t="n">
        <v>5940</v>
      </c>
      <c r="F1989" s="30" t="n">
        <v>3940</v>
      </c>
      <c r="G1989" s="35" t="n">
        <v>0.663299663299663</v>
      </c>
    </row>
    <row r="1990" customFormat="false" ht="15" hidden="false" customHeight="false" outlineLevel="0" collapsed="false">
      <c r="A1990" s="25" t="s">
        <v>2354</v>
      </c>
      <c r="B1990" s="29" t="s">
        <v>2355</v>
      </c>
      <c r="C1990" s="29" t="s">
        <v>290</v>
      </c>
      <c r="D1990" s="29" t="n">
        <v>15</v>
      </c>
      <c r="E1990" s="31" t="n">
        <v>5925</v>
      </c>
      <c r="F1990" s="31" t="n">
        <v>1170</v>
      </c>
      <c r="G1990" s="37" t="n">
        <v>0.19746835443038</v>
      </c>
    </row>
    <row r="1991" customFormat="false" ht="15" hidden="false" customHeight="false" outlineLevel="0" collapsed="false">
      <c r="A1991" s="20" t="s">
        <v>2356</v>
      </c>
      <c r="B1991" s="9" t="s">
        <v>216</v>
      </c>
      <c r="C1991" s="9" t="s">
        <v>428</v>
      </c>
      <c r="D1991" s="9" t="n">
        <v>4</v>
      </c>
      <c r="E1991" s="30" t="n">
        <v>5924</v>
      </c>
      <c r="F1991" s="30" t="n">
        <v>1184</v>
      </c>
      <c r="G1991" s="35" t="n">
        <v>0.199864956110736</v>
      </c>
    </row>
    <row r="1992" customFormat="false" ht="15" hidden="false" customHeight="false" outlineLevel="0" collapsed="false">
      <c r="A1992" s="25" t="s">
        <v>2357</v>
      </c>
      <c r="B1992" s="25" t="s">
        <v>194</v>
      </c>
      <c r="C1992" s="29" t="s">
        <v>485</v>
      </c>
      <c r="D1992" s="29" t="n">
        <v>1</v>
      </c>
      <c r="E1992" s="31" t="n">
        <v>5917</v>
      </c>
      <c r="F1992" s="31" t="n">
        <v>2150</v>
      </c>
      <c r="G1992" s="37" t="n">
        <v>0.363359810714889</v>
      </c>
    </row>
    <row r="1993" customFormat="false" ht="15" hidden="false" customHeight="false" outlineLevel="0" collapsed="false">
      <c r="A1993" s="20" t="s">
        <v>2358</v>
      </c>
      <c r="B1993" s="20" t="s">
        <v>194</v>
      </c>
      <c r="C1993" s="9" t="s">
        <v>334</v>
      </c>
      <c r="D1993" s="9" t="n">
        <v>14</v>
      </c>
      <c r="E1993" s="30" t="n">
        <v>5916</v>
      </c>
      <c r="F1993" s="30" t="n">
        <v>974</v>
      </c>
      <c r="G1993" s="35" t="n">
        <v>0.164638269100744</v>
      </c>
    </row>
    <row r="1994" customFormat="false" ht="15" hidden="false" customHeight="false" outlineLevel="0" collapsed="false">
      <c r="A1994" s="25" t="s">
        <v>2359</v>
      </c>
      <c r="B1994" s="25" t="s">
        <v>200</v>
      </c>
      <c r="C1994" s="29" t="s">
        <v>297</v>
      </c>
      <c r="D1994" s="29" t="n">
        <v>1</v>
      </c>
      <c r="E1994" s="31" t="n">
        <v>5905</v>
      </c>
      <c r="F1994" s="31" t="n">
        <v>886</v>
      </c>
      <c r="G1994" s="37" t="n">
        <v>0.15004233700254</v>
      </c>
    </row>
    <row r="1995" customFormat="false" ht="15" hidden="false" customHeight="false" outlineLevel="0" collapsed="false">
      <c r="A1995" s="20" t="s">
        <v>2360</v>
      </c>
      <c r="B1995" s="20" t="s">
        <v>200</v>
      </c>
      <c r="C1995" s="9" t="s">
        <v>223</v>
      </c>
      <c r="D1995" s="9" t="n">
        <v>6</v>
      </c>
      <c r="E1995" s="30" t="n">
        <v>5898</v>
      </c>
      <c r="F1995" s="30" t="n">
        <v>2382</v>
      </c>
      <c r="G1995" s="35" t="n">
        <v>0.403865717192269</v>
      </c>
    </row>
    <row r="1996" customFormat="false" ht="15" hidden="false" customHeight="false" outlineLevel="0" collapsed="false">
      <c r="A1996" s="25" t="s">
        <v>2361</v>
      </c>
      <c r="B1996" s="25" t="s">
        <v>220</v>
      </c>
      <c r="C1996" s="29" t="s">
        <v>217</v>
      </c>
      <c r="D1996" s="29" t="n">
        <v>3</v>
      </c>
      <c r="E1996" s="31" t="n">
        <v>5895</v>
      </c>
      <c r="F1996" s="31" t="n">
        <v>884</v>
      </c>
      <c r="G1996" s="37" t="n">
        <v>0.149957591178965</v>
      </c>
    </row>
    <row r="1997" customFormat="false" ht="15" hidden="false" customHeight="false" outlineLevel="0" collapsed="false">
      <c r="A1997" s="20" t="s">
        <v>2362</v>
      </c>
      <c r="B1997" s="20" t="s">
        <v>200</v>
      </c>
      <c r="C1997" s="9" t="s">
        <v>428</v>
      </c>
      <c r="D1997" s="9" t="n">
        <v>4</v>
      </c>
      <c r="E1997" s="30" t="n">
        <v>5892</v>
      </c>
      <c r="F1997" s="30" t="n">
        <v>132</v>
      </c>
      <c r="G1997" s="35" t="n">
        <v>0.0224032586558044</v>
      </c>
    </row>
    <row r="1998" customFormat="false" ht="15" hidden="false" customHeight="false" outlineLevel="0" collapsed="false">
      <c r="A1998" s="25" t="s">
        <v>2363</v>
      </c>
      <c r="B1998" s="29" t="s">
        <v>253</v>
      </c>
      <c r="C1998" s="29" t="s">
        <v>428</v>
      </c>
      <c r="D1998" s="29" t="n">
        <v>10</v>
      </c>
      <c r="E1998" s="31" t="n">
        <v>5870</v>
      </c>
      <c r="F1998" s="31" t="n">
        <v>2230</v>
      </c>
      <c r="G1998" s="37" t="n">
        <v>0.379897785349233</v>
      </c>
    </row>
    <row r="1999" customFormat="false" ht="15" hidden="false" customHeight="false" outlineLevel="0" collapsed="false">
      <c r="A1999" s="20" t="s">
        <v>2364</v>
      </c>
      <c r="B1999" s="20" t="s">
        <v>194</v>
      </c>
      <c r="C1999" s="9" t="s">
        <v>223</v>
      </c>
      <c r="D1999" s="9" t="n">
        <v>1</v>
      </c>
      <c r="E1999" s="30" t="n">
        <v>5845</v>
      </c>
      <c r="F1999" s="30" t="n">
        <v>2377</v>
      </c>
      <c r="G1999" s="35" t="n">
        <v>0.406672369546621</v>
      </c>
    </row>
    <row r="2000" customFormat="false" ht="15" hidden="false" customHeight="false" outlineLevel="0" collapsed="false">
      <c r="A2000" s="25" t="s">
        <v>2365</v>
      </c>
      <c r="B2000" s="29" t="s">
        <v>253</v>
      </c>
      <c r="C2000" s="29" t="s">
        <v>223</v>
      </c>
      <c r="D2000" s="29" t="n">
        <v>6</v>
      </c>
      <c r="E2000" s="31" t="n">
        <v>5844</v>
      </c>
      <c r="F2000" s="31" t="n">
        <v>3372</v>
      </c>
      <c r="G2000" s="37" t="n">
        <v>0.57700205338809</v>
      </c>
    </row>
    <row r="2001" customFormat="false" ht="15" hidden="false" customHeight="false" outlineLevel="0" collapsed="false">
      <c r="A2001" s="20" t="s">
        <v>2366</v>
      </c>
      <c r="B2001" s="20" t="s">
        <v>200</v>
      </c>
      <c r="C2001" s="9" t="s">
        <v>368</v>
      </c>
      <c r="D2001" s="9" t="n">
        <v>3</v>
      </c>
      <c r="E2001" s="30" t="n">
        <v>5844</v>
      </c>
      <c r="F2001" s="30" t="n">
        <v>876</v>
      </c>
      <c r="G2001" s="35" t="n">
        <v>0.149897330595483</v>
      </c>
    </row>
    <row r="2002" customFormat="false" ht="15" hidden="false" customHeight="false" outlineLevel="0" collapsed="false">
      <c r="A2002" s="25" t="s">
        <v>2367</v>
      </c>
      <c r="B2002" s="25" t="s">
        <v>194</v>
      </c>
      <c r="C2002" s="29" t="s">
        <v>231</v>
      </c>
      <c r="D2002" s="29" t="n">
        <v>3</v>
      </c>
      <c r="E2002" s="31" t="n">
        <v>5841</v>
      </c>
      <c r="F2002" s="31" t="n">
        <v>1737</v>
      </c>
      <c r="G2002" s="37" t="n">
        <v>0.297380585516179</v>
      </c>
    </row>
    <row r="2003" customFormat="false" ht="15" hidden="false" customHeight="false" outlineLevel="0" collapsed="false">
      <c r="A2003" s="20" t="s">
        <v>2368</v>
      </c>
      <c r="B2003" s="20" t="s">
        <v>200</v>
      </c>
      <c r="C2003" s="9" t="s">
        <v>223</v>
      </c>
      <c r="D2003" s="9" t="n">
        <v>1</v>
      </c>
      <c r="E2003" s="30" t="n">
        <v>5837</v>
      </c>
      <c r="F2003" s="30" t="n">
        <v>2175</v>
      </c>
      <c r="G2003" s="35" t="n">
        <v>0.372622922734281</v>
      </c>
    </row>
    <row r="2004" customFormat="false" ht="15" hidden="false" customHeight="false" outlineLevel="0" collapsed="false">
      <c r="A2004" s="25" t="s">
        <v>2369</v>
      </c>
      <c r="B2004" s="25" t="s">
        <v>200</v>
      </c>
      <c r="C2004" s="29" t="s">
        <v>380</v>
      </c>
      <c r="D2004" s="29" t="n">
        <v>1</v>
      </c>
      <c r="E2004" s="31" t="n">
        <v>5830</v>
      </c>
      <c r="F2004" s="31" t="n">
        <v>1551</v>
      </c>
      <c r="G2004" s="37" t="n">
        <v>0.266037735849057</v>
      </c>
    </row>
    <row r="2005" customFormat="false" ht="15" hidden="false" customHeight="false" outlineLevel="0" collapsed="false">
      <c r="A2005" s="20" t="s">
        <v>2370</v>
      </c>
      <c r="B2005" s="20" t="s">
        <v>194</v>
      </c>
      <c r="C2005" s="9" t="s">
        <v>880</v>
      </c>
      <c r="D2005" s="9" t="n">
        <v>1</v>
      </c>
      <c r="E2005" s="30" t="n">
        <v>5818</v>
      </c>
      <c r="F2005" s="30" t="n">
        <v>-6670</v>
      </c>
      <c r="G2005" s="35" t="n">
        <v>-1.14644207631489</v>
      </c>
    </row>
    <row r="2006" customFormat="false" ht="15" hidden="false" customHeight="false" outlineLevel="0" collapsed="false">
      <c r="A2006" s="25" t="s">
        <v>2371</v>
      </c>
      <c r="B2006" s="25" t="s">
        <v>194</v>
      </c>
      <c r="C2006" s="29" t="s">
        <v>1950</v>
      </c>
      <c r="D2006" s="29" t="n">
        <v>5</v>
      </c>
      <c r="E2006" s="31" t="n">
        <v>5816</v>
      </c>
      <c r="F2006" s="31" t="n">
        <v>3341</v>
      </c>
      <c r="G2006" s="37" t="n">
        <v>0.574449793672627</v>
      </c>
    </row>
    <row r="2007" customFormat="false" ht="15" hidden="false" customHeight="false" outlineLevel="0" collapsed="false">
      <c r="A2007" s="20" t="s">
        <v>2372</v>
      </c>
      <c r="B2007" s="20" t="s">
        <v>194</v>
      </c>
      <c r="C2007" s="9" t="s">
        <v>203</v>
      </c>
      <c r="D2007" s="9" t="n">
        <v>2</v>
      </c>
      <c r="E2007" s="30" t="n">
        <v>5810</v>
      </c>
      <c r="F2007" s="30" t="n">
        <v>872</v>
      </c>
      <c r="G2007" s="35" t="n">
        <v>0.150086058519793</v>
      </c>
    </row>
    <row r="2008" customFormat="false" ht="15" hidden="false" customHeight="false" outlineLevel="0" collapsed="false">
      <c r="A2008" s="25" t="s">
        <v>2373</v>
      </c>
      <c r="B2008" s="25" t="s">
        <v>194</v>
      </c>
      <c r="C2008" s="29" t="s">
        <v>203</v>
      </c>
      <c r="D2008" s="29" t="n">
        <v>6</v>
      </c>
      <c r="E2008" s="31" t="n">
        <v>5802</v>
      </c>
      <c r="F2008" s="31" t="n">
        <v>870</v>
      </c>
      <c r="G2008" s="37" t="n">
        <v>0.14994829369183</v>
      </c>
    </row>
    <row r="2009" customFormat="false" ht="15" hidden="false" customHeight="false" outlineLevel="0" collapsed="false">
      <c r="A2009" s="20" t="s">
        <v>2374</v>
      </c>
      <c r="B2009" s="20" t="s">
        <v>200</v>
      </c>
      <c r="C2009" s="9" t="s">
        <v>223</v>
      </c>
      <c r="D2009" s="9" t="n">
        <v>1</v>
      </c>
      <c r="E2009" s="30" t="n">
        <v>5800</v>
      </c>
      <c r="F2009" s="30" t="n">
        <v>2696</v>
      </c>
      <c r="G2009" s="35" t="n">
        <v>0.464827586206897</v>
      </c>
    </row>
    <row r="2010" customFormat="false" ht="15" hidden="false" customHeight="false" outlineLevel="0" collapsed="false">
      <c r="A2010" s="25" t="s">
        <v>2375</v>
      </c>
      <c r="B2010" s="25" t="s">
        <v>200</v>
      </c>
      <c r="C2010" s="29" t="s">
        <v>297</v>
      </c>
      <c r="D2010" s="29" t="n">
        <v>1</v>
      </c>
      <c r="E2010" s="31" t="n">
        <v>5773</v>
      </c>
      <c r="F2010" s="31" t="n">
        <v>2614</v>
      </c>
      <c r="G2010" s="37" t="n">
        <v>0.452797505629655</v>
      </c>
    </row>
    <row r="2011" customFormat="false" ht="15" hidden="false" customHeight="false" outlineLevel="0" collapsed="false">
      <c r="A2011" s="20" t="s">
        <v>2376</v>
      </c>
      <c r="B2011" s="20" t="s">
        <v>200</v>
      </c>
      <c r="C2011" s="9" t="s">
        <v>297</v>
      </c>
      <c r="D2011" s="9" t="n">
        <v>1</v>
      </c>
      <c r="E2011" s="30" t="n">
        <v>5770</v>
      </c>
      <c r="F2011" s="30" t="n">
        <v>2100</v>
      </c>
      <c r="G2011" s="35" t="n">
        <v>0.363951473136915</v>
      </c>
    </row>
    <row r="2012" customFormat="false" ht="15" hidden="false" customHeight="false" outlineLevel="0" collapsed="false">
      <c r="A2012" s="25" t="s">
        <v>2377</v>
      </c>
      <c r="B2012" s="25" t="s">
        <v>194</v>
      </c>
      <c r="C2012" s="29" t="s">
        <v>334</v>
      </c>
      <c r="D2012" s="29" t="n">
        <v>2</v>
      </c>
      <c r="E2012" s="31" t="n">
        <v>5758</v>
      </c>
      <c r="F2012" s="31" t="n">
        <v>864</v>
      </c>
      <c r="G2012" s="37" t="n">
        <v>0.150052101424106</v>
      </c>
    </row>
    <row r="2013" customFormat="false" ht="15" hidden="false" customHeight="false" outlineLevel="0" collapsed="false">
      <c r="A2013" s="20" t="s">
        <v>2378</v>
      </c>
      <c r="B2013" s="20" t="s">
        <v>220</v>
      </c>
      <c r="C2013" s="9" t="s">
        <v>217</v>
      </c>
      <c r="D2013" s="9" t="n">
        <v>1</v>
      </c>
      <c r="E2013" s="30" t="n">
        <v>5746</v>
      </c>
      <c r="F2013" s="30" t="n">
        <v>1995</v>
      </c>
      <c r="G2013" s="35" t="n">
        <v>0.34719805081796</v>
      </c>
    </row>
    <row r="2014" customFormat="false" ht="15" hidden="false" customHeight="false" outlineLevel="0" collapsed="false">
      <c r="A2014" s="25" t="s">
        <v>2379</v>
      </c>
      <c r="B2014" s="25" t="s">
        <v>194</v>
      </c>
      <c r="C2014" s="29" t="s">
        <v>485</v>
      </c>
      <c r="D2014" s="29" t="n">
        <v>2</v>
      </c>
      <c r="E2014" s="31" t="n">
        <v>5744</v>
      </c>
      <c r="F2014" s="31" t="n">
        <v>1820</v>
      </c>
      <c r="G2014" s="37" t="n">
        <v>0.316852367688022</v>
      </c>
    </row>
    <row r="2015" customFormat="false" ht="15" hidden="false" customHeight="false" outlineLevel="0" collapsed="false">
      <c r="A2015" s="20" t="s">
        <v>2380</v>
      </c>
      <c r="B2015" s="20" t="s">
        <v>194</v>
      </c>
      <c r="C2015" s="9" t="s">
        <v>223</v>
      </c>
      <c r="D2015" s="9" t="n">
        <v>1</v>
      </c>
      <c r="E2015" s="30" t="n">
        <v>5739</v>
      </c>
      <c r="F2015" s="30" t="n">
        <v>1540</v>
      </c>
      <c r="G2015" s="35" t="n">
        <v>0.268339431956787</v>
      </c>
    </row>
    <row r="2016" customFormat="false" ht="15" hidden="false" customHeight="false" outlineLevel="0" collapsed="false">
      <c r="A2016" s="25" t="s">
        <v>2381</v>
      </c>
      <c r="B2016" s="25" t="s">
        <v>240</v>
      </c>
      <c r="C2016" s="29" t="s">
        <v>439</v>
      </c>
      <c r="D2016" s="29" t="n">
        <v>1</v>
      </c>
      <c r="E2016" s="31" t="n">
        <v>5732</v>
      </c>
      <c r="F2016" s="31" t="n">
        <v>4533</v>
      </c>
      <c r="G2016" s="37" t="n">
        <v>0.790823447313329</v>
      </c>
    </row>
    <row r="2017" customFormat="false" ht="15" hidden="false" customHeight="false" outlineLevel="0" collapsed="false">
      <c r="A2017" s="20" t="s">
        <v>2382</v>
      </c>
      <c r="B2017" s="20" t="s">
        <v>200</v>
      </c>
      <c r="C2017" s="9" t="s">
        <v>790</v>
      </c>
      <c r="D2017" s="9" t="n">
        <v>1</v>
      </c>
      <c r="E2017" s="30" t="n">
        <v>5727</v>
      </c>
      <c r="F2017" s="30" t="n">
        <v>5391</v>
      </c>
      <c r="G2017" s="35" t="n">
        <v>0.941330539549502</v>
      </c>
    </row>
    <row r="2018" customFormat="false" ht="15" hidden="false" customHeight="false" outlineLevel="0" collapsed="false">
      <c r="A2018" s="25" t="s">
        <v>2383</v>
      </c>
      <c r="B2018" s="29" t="s">
        <v>962</v>
      </c>
      <c r="C2018" s="29" t="s">
        <v>223</v>
      </c>
      <c r="D2018" s="29" t="n">
        <v>1</v>
      </c>
      <c r="E2018" s="31" t="n">
        <v>5696</v>
      </c>
      <c r="F2018" s="31" t="n">
        <v>-3104</v>
      </c>
      <c r="G2018" s="37" t="n">
        <v>-0.544943820224719</v>
      </c>
    </row>
    <row r="2019" customFormat="false" ht="15" hidden="false" customHeight="false" outlineLevel="0" collapsed="false">
      <c r="A2019" s="20" t="s">
        <v>2384</v>
      </c>
      <c r="B2019" s="20" t="s">
        <v>200</v>
      </c>
      <c r="C2019" s="9" t="s">
        <v>768</v>
      </c>
      <c r="D2019" s="9" t="n">
        <v>1</v>
      </c>
      <c r="E2019" s="30" t="n">
        <v>5682</v>
      </c>
      <c r="F2019" s="30" t="n">
        <v>1419</v>
      </c>
      <c r="G2019" s="35" t="n">
        <v>0.24973600844773</v>
      </c>
    </row>
    <row r="2020" customFormat="false" ht="15" hidden="false" customHeight="false" outlineLevel="0" collapsed="false">
      <c r="A2020" s="25" t="s">
        <v>2385</v>
      </c>
      <c r="B2020" s="25" t="s">
        <v>200</v>
      </c>
      <c r="C2020" s="29" t="s">
        <v>223</v>
      </c>
      <c r="D2020" s="29" t="n">
        <v>1</v>
      </c>
      <c r="E2020" s="31" t="n">
        <v>5670</v>
      </c>
      <c r="F2020" s="31" t="n">
        <v>1608</v>
      </c>
      <c r="G2020" s="37" t="n">
        <v>0.283597883597884</v>
      </c>
    </row>
    <row r="2021" customFormat="false" ht="15" hidden="false" customHeight="false" outlineLevel="0" collapsed="false">
      <c r="A2021" s="20" t="s">
        <v>2386</v>
      </c>
      <c r="B2021" s="20" t="s">
        <v>194</v>
      </c>
      <c r="C2021" s="9" t="s">
        <v>485</v>
      </c>
      <c r="D2021" s="9" t="n">
        <v>1</v>
      </c>
      <c r="E2021" s="30" t="n">
        <v>5663</v>
      </c>
      <c r="F2021" s="30" t="n">
        <v>3660</v>
      </c>
      <c r="G2021" s="35" t="n">
        <v>0.646300547413032</v>
      </c>
    </row>
    <row r="2022" customFormat="false" ht="15" hidden="false" customHeight="false" outlineLevel="0" collapsed="false">
      <c r="A2022" s="25" t="s">
        <v>2387</v>
      </c>
      <c r="B2022" s="25" t="s">
        <v>240</v>
      </c>
      <c r="C2022" s="29" t="s">
        <v>391</v>
      </c>
      <c r="D2022" s="29" t="n">
        <v>5</v>
      </c>
      <c r="E2022" s="31" t="n">
        <v>5655</v>
      </c>
      <c r="F2022" s="31" t="n">
        <v>4055</v>
      </c>
      <c r="G2022" s="37" t="n">
        <v>0.717064544650752</v>
      </c>
    </row>
    <row r="2023" customFormat="false" ht="15" hidden="false" customHeight="false" outlineLevel="0" collapsed="false">
      <c r="A2023" s="20" t="s">
        <v>2388</v>
      </c>
      <c r="B2023" s="9" t="s">
        <v>253</v>
      </c>
      <c r="C2023" s="9" t="s">
        <v>428</v>
      </c>
      <c r="D2023" s="9" t="n">
        <v>5</v>
      </c>
      <c r="E2023" s="30" t="n">
        <v>5635</v>
      </c>
      <c r="F2023" s="30" t="n">
        <v>2000</v>
      </c>
      <c r="G2023" s="35" t="n">
        <v>0.354924578527063</v>
      </c>
    </row>
    <row r="2024" customFormat="false" ht="15" hidden="false" customHeight="false" outlineLevel="0" collapsed="false">
      <c r="A2024" s="25" t="s">
        <v>2389</v>
      </c>
      <c r="B2024" s="25" t="s">
        <v>194</v>
      </c>
      <c r="C2024" s="29" t="s">
        <v>203</v>
      </c>
      <c r="D2024" s="29" t="n">
        <v>6</v>
      </c>
      <c r="E2024" s="31" t="n">
        <v>5622</v>
      </c>
      <c r="F2024" s="31" t="n">
        <v>606</v>
      </c>
      <c r="G2024" s="37" t="n">
        <v>0.107790821771612</v>
      </c>
    </row>
    <row r="2025" customFormat="false" ht="15" hidden="false" customHeight="false" outlineLevel="0" collapsed="false">
      <c r="A2025" s="20" t="s">
        <v>2390</v>
      </c>
      <c r="B2025" s="20" t="s">
        <v>200</v>
      </c>
      <c r="C2025" s="9" t="s">
        <v>223</v>
      </c>
      <c r="D2025" s="9" t="n">
        <v>1</v>
      </c>
      <c r="E2025" s="30" t="n">
        <v>5622</v>
      </c>
      <c r="F2025" s="30" t="n">
        <v>1462</v>
      </c>
      <c r="G2025" s="35" t="n">
        <v>0.260049804340093</v>
      </c>
    </row>
    <row r="2026" customFormat="false" ht="15" hidden="false" customHeight="false" outlineLevel="0" collapsed="false">
      <c r="A2026" s="25" t="s">
        <v>2391</v>
      </c>
      <c r="B2026" s="25" t="s">
        <v>200</v>
      </c>
      <c r="C2026" s="29" t="s">
        <v>223</v>
      </c>
      <c r="D2026" s="29" t="n">
        <v>1</v>
      </c>
      <c r="E2026" s="31" t="n">
        <v>5617</v>
      </c>
      <c r="F2026" s="31" t="n">
        <v>1633</v>
      </c>
      <c r="G2026" s="37" t="n">
        <v>0.290724586077978</v>
      </c>
    </row>
    <row r="2027" customFormat="false" ht="15" hidden="false" customHeight="false" outlineLevel="0" collapsed="false">
      <c r="A2027" s="20" t="s">
        <v>2392</v>
      </c>
      <c r="B2027" s="20" t="s">
        <v>194</v>
      </c>
      <c r="C2027" s="9" t="s">
        <v>223</v>
      </c>
      <c r="D2027" s="9" t="n">
        <v>1</v>
      </c>
      <c r="E2027" s="30" t="n">
        <v>5607</v>
      </c>
      <c r="F2027" s="30" t="n">
        <v>841</v>
      </c>
      <c r="G2027" s="35" t="n">
        <v>0.149991082575352</v>
      </c>
    </row>
    <row r="2028" customFormat="false" ht="15" hidden="false" customHeight="false" outlineLevel="0" collapsed="false">
      <c r="A2028" s="25" t="s">
        <v>2393</v>
      </c>
      <c r="B2028" s="25" t="s">
        <v>1937</v>
      </c>
      <c r="C2028" s="29" t="s">
        <v>203</v>
      </c>
      <c r="D2028" s="29" t="n">
        <v>20</v>
      </c>
      <c r="E2028" s="31" t="n">
        <v>5600</v>
      </c>
      <c r="F2028" s="31" t="n">
        <v>840</v>
      </c>
      <c r="G2028" s="37" t="n">
        <v>0.15</v>
      </c>
    </row>
    <row r="2029" customFormat="false" ht="15" hidden="false" customHeight="false" outlineLevel="0" collapsed="false">
      <c r="A2029" s="20" t="s">
        <v>2394</v>
      </c>
      <c r="B2029" s="20" t="s">
        <v>194</v>
      </c>
      <c r="C2029" s="9" t="s">
        <v>334</v>
      </c>
      <c r="D2029" s="9" t="n">
        <v>1</v>
      </c>
      <c r="E2029" s="30" t="n">
        <v>5600</v>
      </c>
      <c r="F2029" s="30" t="n">
        <v>3431</v>
      </c>
      <c r="G2029" s="35" t="n">
        <v>0.612678571428571</v>
      </c>
    </row>
    <row r="2030" customFormat="false" ht="15" hidden="false" customHeight="false" outlineLevel="0" collapsed="false">
      <c r="A2030" s="25" t="s">
        <v>2395</v>
      </c>
      <c r="B2030" s="25" t="s">
        <v>855</v>
      </c>
      <c r="C2030" s="29" t="s">
        <v>334</v>
      </c>
      <c r="D2030" s="29" t="n">
        <v>14</v>
      </c>
      <c r="E2030" s="31" t="n">
        <v>5600</v>
      </c>
      <c r="F2030" s="31" t="n">
        <v>-33600</v>
      </c>
      <c r="G2030" s="37" t="n">
        <v>-6</v>
      </c>
    </row>
    <row r="2031" customFormat="false" ht="15" hidden="false" customHeight="false" outlineLevel="0" collapsed="false">
      <c r="A2031" s="20" t="s">
        <v>2396</v>
      </c>
      <c r="B2031" s="20" t="s">
        <v>200</v>
      </c>
      <c r="C2031" s="9" t="s">
        <v>439</v>
      </c>
      <c r="D2031" s="9" t="n">
        <v>1</v>
      </c>
      <c r="E2031" s="30" t="n">
        <v>5600</v>
      </c>
      <c r="F2031" s="30" t="n">
        <v>840</v>
      </c>
      <c r="G2031" s="35" t="n">
        <v>0.15</v>
      </c>
    </row>
    <row r="2032" customFormat="false" ht="15" hidden="false" customHeight="false" outlineLevel="0" collapsed="false">
      <c r="A2032" s="25" t="s">
        <v>2397</v>
      </c>
      <c r="B2032" s="25" t="s">
        <v>194</v>
      </c>
      <c r="C2032" s="29" t="s">
        <v>258</v>
      </c>
      <c r="D2032" s="29" t="n">
        <v>6</v>
      </c>
      <c r="E2032" s="31" t="n">
        <v>5574</v>
      </c>
      <c r="F2032" s="31" t="n">
        <v>5340</v>
      </c>
      <c r="G2032" s="37" t="n">
        <v>0.958019375672766</v>
      </c>
    </row>
    <row r="2033" customFormat="false" ht="15" hidden="false" customHeight="false" outlineLevel="0" collapsed="false">
      <c r="A2033" s="20" t="s">
        <v>2398</v>
      </c>
      <c r="B2033" s="9" t="s">
        <v>216</v>
      </c>
      <c r="C2033" s="9" t="s">
        <v>334</v>
      </c>
      <c r="D2033" s="9" t="n">
        <v>14</v>
      </c>
      <c r="E2033" s="30" t="n">
        <v>5558</v>
      </c>
      <c r="F2033" s="30" t="n">
        <v>833</v>
      </c>
      <c r="G2033" s="35" t="n">
        <v>0.149874055415617</v>
      </c>
    </row>
    <row r="2034" customFormat="false" ht="15" hidden="false" customHeight="false" outlineLevel="0" collapsed="false">
      <c r="A2034" s="25" t="s">
        <v>2399</v>
      </c>
      <c r="B2034" s="25" t="s">
        <v>194</v>
      </c>
      <c r="C2034" s="29" t="s">
        <v>368</v>
      </c>
      <c r="D2034" s="29" t="n">
        <v>3</v>
      </c>
      <c r="E2034" s="31" t="n">
        <v>5553</v>
      </c>
      <c r="F2034" s="31" t="n">
        <v>834</v>
      </c>
      <c r="G2034" s="37" t="n">
        <v>0.150189086980011</v>
      </c>
    </row>
    <row r="2035" customFormat="false" ht="15" hidden="false" customHeight="false" outlineLevel="0" collapsed="false">
      <c r="A2035" s="20" t="s">
        <v>2400</v>
      </c>
      <c r="B2035" s="20" t="s">
        <v>194</v>
      </c>
      <c r="C2035" s="9" t="s">
        <v>203</v>
      </c>
      <c r="D2035" s="9" t="n">
        <v>8</v>
      </c>
      <c r="E2035" s="30" t="n">
        <v>5520</v>
      </c>
      <c r="F2035" s="30" t="n">
        <v>3920</v>
      </c>
      <c r="G2035" s="35" t="n">
        <v>0.710144927536232</v>
      </c>
    </row>
    <row r="2036" customFormat="false" ht="15" hidden="false" customHeight="false" outlineLevel="0" collapsed="false">
      <c r="A2036" s="25" t="s">
        <v>2401</v>
      </c>
      <c r="B2036" s="29" t="s">
        <v>281</v>
      </c>
      <c r="C2036" s="29" t="s">
        <v>197</v>
      </c>
      <c r="D2036" s="29" t="n">
        <v>1</v>
      </c>
      <c r="E2036" s="31" t="n">
        <v>5520</v>
      </c>
      <c r="F2036" s="31" t="n">
        <v>1270</v>
      </c>
      <c r="G2036" s="37" t="n">
        <v>0.230072463768116</v>
      </c>
    </row>
    <row r="2037" customFormat="false" ht="15" hidden="false" customHeight="false" outlineLevel="0" collapsed="false">
      <c r="A2037" s="20" t="s">
        <v>2402</v>
      </c>
      <c r="B2037" s="20" t="s">
        <v>194</v>
      </c>
      <c r="C2037" s="9" t="s">
        <v>203</v>
      </c>
      <c r="D2037" s="9" t="n">
        <v>3</v>
      </c>
      <c r="E2037" s="30" t="n">
        <v>5520</v>
      </c>
      <c r="F2037" s="30" t="n">
        <v>828</v>
      </c>
      <c r="G2037" s="35" t="n">
        <v>0.15</v>
      </c>
    </row>
    <row r="2038" customFormat="false" ht="15" hidden="false" customHeight="false" outlineLevel="0" collapsed="false">
      <c r="A2038" s="25" t="s">
        <v>2403</v>
      </c>
      <c r="B2038" s="25" t="s">
        <v>194</v>
      </c>
      <c r="C2038" s="29" t="s">
        <v>223</v>
      </c>
      <c r="D2038" s="29" t="n">
        <v>1</v>
      </c>
      <c r="E2038" s="31" t="n">
        <v>5516</v>
      </c>
      <c r="F2038" s="31" t="n">
        <v>2250</v>
      </c>
      <c r="G2038" s="37" t="n">
        <v>0.407904278462654</v>
      </c>
    </row>
    <row r="2039" customFormat="false" ht="15" hidden="false" customHeight="false" outlineLevel="0" collapsed="false">
      <c r="A2039" s="20" t="s">
        <v>2404</v>
      </c>
      <c r="B2039" s="20" t="s">
        <v>194</v>
      </c>
      <c r="C2039" s="9" t="s">
        <v>485</v>
      </c>
      <c r="D2039" s="9" t="n">
        <v>4</v>
      </c>
      <c r="E2039" s="30" t="n">
        <v>5492</v>
      </c>
      <c r="F2039" s="30" t="n">
        <v>2816</v>
      </c>
      <c r="G2039" s="35" t="n">
        <v>0.512745812090313</v>
      </c>
    </row>
    <row r="2040" customFormat="false" ht="15" hidden="false" customHeight="false" outlineLevel="0" collapsed="false">
      <c r="A2040" s="25" t="s">
        <v>2405</v>
      </c>
      <c r="B2040" s="25" t="s">
        <v>240</v>
      </c>
      <c r="C2040" s="29" t="s">
        <v>368</v>
      </c>
      <c r="D2040" s="29" t="n">
        <v>2</v>
      </c>
      <c r="E2040" s="31" t="n">
        <v>5476</v>
      </c>
      <c r="F2040" s="31" t="n">
        <v>822</v>
      </c>
      <c r="G2040" s="37" t="n">
        <v>0.150109569028488</v>
      </c>
    </row>
    <row r="2041" customFormat="false" ht="15" hidden="false" customHeight="false" outlineLevel="0" collapsed="false">
      <c r="A2041" s="20" t="s">
        <v>2406</v>
      </c>
      <c r="B2041" s="20" t="s">
        <v>200</v>
      </c>
      <c r="C2041" s="9" t="s">
        <v>880</v>
      </c>
      <c r="D2041" s="9" t="n">
        <v>1</v>
      </c>
      <c r="E2041" s="30" t="n">
        <v>5457</v>
      </c>
      <c r="F2041" s="30" t="n">
        <v>3857</v>
      </c>
      <c r="G2041" s="35" t="n">
        <v>0.706798607293385</v>
      </c>
    </row>
    <row r="2042" customFormat="false" ht="15" hidden="false" customHeight="false" outlineLevel="0" collapsed="false">
      <c r="A2042" s="25" t="s">
        <v>2407</v>
      </c>
      <c r="B2042" s="25" t="s">
        <v>194</v>
      </c>
      <c r="C2042" s="29" t="s">
        <v>334</v>
      </c>
      <c r="D2042" s="29" t="n">
        <v>4</v>
      </c>
      <c r="E2042" s="31" t="n">
        <v>5444</v>
      </c>
      <c r="F2042" s="31" t="n">
        <v>2232</v>
      </c>
      <c r="G2042" s="37" t="n">
        <v>0.409992652461425</v>
      </c>
    </row>
    <row r="2043" customFormat="false" ht="15" hidden="false" customHeight="false" outlineLevel="0" collapsed="false">
      <c r="A2043" s="20" t="s">
        <v>2408</v>
      </c>
      <c r="B2043" s="20" t="s">
        <v>1482</v>
      </c>
      <c r="C2043" s="9" t="s">
        <v>880</v>
      </c>
      <c r="D2043" s="9" t="n">
        <v>1</v>
      </c>
      <c r="E2043" s="30" t="n">
        <v>5441</v>
      </c>
      <c r="F2043" s="30" t="n">
        <v>940</v>
      </c>
      <c r="G2043" s="35" t="n">
        <v>0.17276235986032</v>
      </c>
    </row>
    <row r="2044" customFormat="false" ht="15" hidden="false" customHeight="false" outlineLevel="0" collapsed="false">
      <c r="A2044" s="25" t="s">
        <v>2409</v>
      </c>
      <c r="B2044" s="25" t="s">
        <v>200</v>
      </c>
      <c r="C2044" s="29" t="s">
        <v>223</v>
      </c>
      <c r="D2044" s="29" t="n">
        <v>1</v>
      </c>
      <c r="E2044" s="31" t="n">
        <v>5440</v>
      </c>
      <c r="F2044" s="31" t="n">
        <v>816</v>
      </c>
      <c r="G2044" s="37" t="n">
        <v>0.15</v>
      </c>
    </row>
    <row r="2045" customFormat="false" ht="15" hidden="false" customHeight="false" outlineLevel="0" collapsed="false">
      <c r="A2045" s="20" t="s">
        <v>2410</v>
      </c>
      <c r="B2045" s="9" t="s">
        <v>216</v>
      </c>
      <c r="C2045" s="9" t="s">
        <v>334</v>
      </c>
      <c r="D2045" s="9" t="n">
        <v>14</v>
      </c>
      <c r="E2045" s="30" t="n">
        <v>5432</v>
      </c>
      <c r="F2045" s="30" t="n">
        <v>815</v>
      </c>
      <c r="G2045" s="35" t="n">
        <v>0.150036818851252</v>
      </c>
    </row>
    <row r="2046" customFormat="false" ht="15" hidden="false" customHeight="false" outlineLevel="0" collapsed="false">
      <c r="A2046" s="25" t="s">
        <v>2411</v>
      </c>
      <c r="B2046" s="25" t="s">
        <v>2330</v>
      </c>
      <c r="C2046" s="29" t="s">
        <v>428</v>
      </c>
      <c r="D2046" s="29" t="n">
        <v>1</v>
      </c>
      <c r="E2046" s="31" t="n">
        <v>5429</v>
      </c>
      <c r="F2046" s="31" t="n">
        <v>2959</v>
      </c>
      <c r="G2046" s="37" t="n">
        <v>0.545035918216983</v>
      </c>
    </row>
    <row r="2047" customFormat="false" ht="15" hidden="false" customHeight="false" outlineLevel="0" collapsed="false">
      <c r="A2047" s="20" t="s">
        <v>2412</v>
      </c>
      <c r="B2047" s="9" t="s">
        <v>253</v>
      </c>
      <c r="C2047" s="9" t="s">
        <v>428</v>
      </c>
      <c r="D2047" s="9" t="n">
        <v>3</v>
      </c>
      <c r="E2047" s="30" t="n">
        <v>5415</v>
      </c>
      <c r="F2047" s="30" t="n">
        <v>3315</v>
      </c>
      <c r="G2047" s="35" t="n">
        <v>0.61218836565097</v>
      </c>
    </row>
    <row r="2048" customFormat="false" ht="15" hidden="false" customHeight="false" outlineLevel="0" collapsed="false">
      <c r="A2048" s="25" t="s">
        <v>2413</v>
      </c>
      <c r="B2048" s="25" t="s">
        <v>194</v>
      </c>
      <c r="C2048" s="29" t="s">
        <v>231</v>
      </c>
      <c r="D2048" s="29" t="n">
        <v>3</v>
      </c>
      <c r="E2048" s="31" t="n">
        <v>5409</v>
      </c>
      <c r="F2048" s="31" t="n">
        <v>810</v>
      </c>
      <c r="G2048" s="37" t="n">
        <v>0.149750415973378</v>
      </c>
    </row>
    <row r="2049" customFormat="false" ht="15" hidden="false" customHeight="false" outlineLevel="0" collapsed="false">
      <c r="A2049" s="20" t="s">
        <v>2414</v>
      </c>
      <c r="B2049" s="20" t="s">
        <v>2330</v>
      </c>
      <c r="C2049" s="9" t="s">
        <v>428</v>
      </c>
      <c r="D2049" s="9" t="n">
        <v>1</v>
      </c>
      <c r="E2049" s="30" t="n">
        <v>5405</v>
      </c>
      <c r="F2049" s="30" t="n">
        <v>2950</v>
      </c>
      <c r="G2049" s="35" t="n">
        <v>0.545790934320074</v>
      </c>
    </row>
    <row r="2050" customFormat="false" ht="15" hidden="false" customHeight="false" outlineLevel="0" collapsed="false">
      <c r="A2050" s="25" t="s">
        <v>2415</v>
      </c>
      <c r="B2050" s="25" t="s">
        <v>194</v>
      </c>
      <c r="C2050" s="29" t="s">
        <v>203</v>
      </c>
      <c r="D2050" s="29" t="n">
        <v>20</v>
      </c>
      <c r="E2050" s="31" t="n">
        <v>5400</v>
      </c>
      <c r="F2050" s="31" t="n">
        <v>4000</v>
      </c>
      <c r="G2050" s="37" t="n">
        <v>0.740740740740741</v>
      </c>
    </row>
    <row r="2051" customFormat="false" ht="15" hidden="false" customHeight="false" outlineLevel="0" collapsed="false">
      <c r="A2051" s="20" t="s">
        <v>2416</v>
      </c>
      <c r="B2051" s="20" t="s">
        <v>200</v>
      </c>
      <c r="C2051" s="9" t="s">
        <v>1009</v>
      </c>
      <c r="D2051" s="9" t="n">
        <v>2</v>
      </c>
      <c r="E2051" s="30" t="n">
        <v>5382</v>
      </c>
      <c r="F2051" s="30" t="n">
        <v>4482</v>
      </c>
      <c r="G2051" s="35" t="n">
        <v>0.832775919732442</v>
      </c>
    </row>
    <row r="2052" customFormat="false" ht="15" hidden="false" customHeight="false" outlineLevel="0" collapsed="false">
      <c r="A2052" s="25" t="s">
        <v>2417</v>
      </c>
      <c r="B2052" s="29" t="s">
        <v>253</v>
      </c>
      <c r="C2052" s="29" t="s">
        <v>428</v>
      </c>
      <c r="D2052" s="29" t="n">
        <v>5</v>
      </c>
      <c r="E2052" s="31" t="n">
        <v>5380</v>
      </c>
      <c r="F2052" s="31" t="n">
        <v>2185</v>
      </c>
      <c r="G2052" s="37" t="n">
        <v>0.406133828996283</v>
      </c>
    </row>
    <row r="2053" customFormat="false" ht="15" hidden="false" customHeight="false" outlineLevel="0" collapsed="false">
      <c r="A2053" s="20" t="s">
        <v>2418</v>
      </c>
      <c r="B2053" s="20" t="s">
        <v>194</v>
      </c>
      <c r="C2053" s="9" t="s">
        <v>880</v>
      </c>
      <c r="D2053" s="9" t="n">
        <v>2</v>
      </c>
      <c r="E2053" s="30" t="n">
        <v>5364</v>
      </c>
      <c r="F2053" s="30" t="n">
        <v>805</v>
      </c>
      <c r="G2053" s="35" t="n">
        <v>0.150074571215511</v>
      </c>
    </row>
    <row r="2054" customFormat="false" ht="15" hidden="false" customHeight="false" outlineLevel="0" collapsed="false">
      <c r="A2054" s="25" t="s">
        <v>2419</v>
      </c>
      <c r="B2054" s="25" t="s">
        <v>194</v>
      </c>
      <c r="C2054" s="29" t="s">
        <v>380</v>
      </c>
      <c r="D2054" s="29" t="n">
        <v>6</v>
      </c>
      <c r="E2054" s="31" t="n">
        <v>5340</v>
      </c>
      <c r="F2054" s="31" t="n">
        <v>2184</v>
      </c>
      <c r="G2054" s="37" t="n">
        <v>0.408988764044944</v>
      </c>
    </row>
    <row r="2055" customFormat="false" ht="15" hidden="false" customHeight="false" outlineLevel="0" collapsed="false">
      <c r="A2055" s="20" t="s">
        <v>2420</v>
      </c>
      <c r="B2055" s="20" t="s">
        <v>200</v>
      </c>
      <c r="C2055" s="9" t="s">
        <v>223</v>
      </c>
      <c r="D2055" s="9" t="n">
        <v>1</v>
      </c>
      <c r="E2055" s="30" t="n">
        <v>5293</v>
      </c>
      <c r="F2055" s="30" t="n">
        <v>1329</v>
      </c>
      <c r="G2055" s="35" t="n">
        <v>0.251086340449651</v>
      </c>
    </row>
    <row r="2056" customFormat="false" ht="15" hidden="false" customHeight="false" outlineLevel="0" collapsed="false">
      <c r="A2056" s="25" t="s">
        <v>2421</v>
      </c>
      <c r="B2056" s="25" t="s">
        <v>194</v>
      </c>
      <c r="C2056" s="29" t="s">
        <v>231</v>
      </c>
      <c r="D2056" s="29" t="n">
        <v>7</v>
      </c>
      <c r="E2056" s="31" t="n">
        <v>5285</v>
      </c>
      <c r="F2056" s="31" t="n">
        <v>2856</v>
      </c>
      <c r="G2056" s="37" t="n">
        <v>0.540397350993378</v>
      </c>
    </row>
    <row r="2057" customFormat="false" ht="15" hidden="false" customHeight="false" outlineLevel="0" collapsed="false">
      <c r="A2057" s="20" t="s">
        <v>2422</v>
      </c>
      <c r="B2057" s="9" t="s">
        <v>253</v>
      </c>
      <c r="C2057" s="9" t="s">
        <v>428</v>
      </c>
      <c r="D2057" s="9" t="n">
        <v>3</v>
      </c>
      <c r="E2057" s="30" t="n">
        <v>5283</v>
      </c>
      <c r="F2057" s="30" t="n">
        <v>1620</v>
      </c>
      <c r="G2057" s="35" t="n">
        <v>0.30664395229983</v>
      </c>
    </row>
    <row r="2058" customFormat="false" ht="15" hidden="false" customHeight="false" outlineLevel="0" collapsed="false">
      <c r="A2058" s="25" t="s">
        <v>2423</v>
      </c>
      <c r="B2058" s="29" t="s">
        <v>1649</v>
      </c>
      <c r="C2058" s="29" t="s">
        <v>201</v>
      </c>
      <c r="D2058" s="29" t="n">
        <v>1</v>
      </c>
      <c r="E2058" s="31" t="n">
        <v>5274</v>
      </c>
      <c r="F2058" s="31" t="n">
        <v>791</v>
      </c>
      <c r="G2058" s="37" t="n">
        <v>0.149981039059537</v>
      </c>
    </row>
    <row r="2059" customFormat="false" ht="15" hidden="false" customHeight="false" outlineLevel="0" collapsed="false">
      <c r="A2059" s="20" t="s">
        <v>2424</v>
      </c>
      <c r="B2059" s="20" t="s">
        <v>194</v>
      </c>
      <c r="C2059" s="9" t="s">
        <v>203</v>
      </c>
      <c r="D2059" s="9" t="n">
        <v>1</v>
      </c>
      <c r="E2059" s="30" t="n">
        <v>5272</v>
      </c>
      <c r="F2059" s="30" t="n">
        <v>791</v>
      </c>
      <c r="G2059" s="35" t="n">
        <v>0.150037936267071</v>
      </c>
    </row>
    <row r="2060" customFormat="false" ht="15" hidden="false" customHeight="false" outlineLevel="0" collapsed="false">
      <c r="A2060" s="25" t="s">
        <v>2425</v>
      </c>
      <c r="B2060" s="25" t="s">
        <v>194</v>
      </c>
      <c r="C2060" s="29" t="s">
        <v>223</v>
      </c>
      <c r="D2060" s="29" t="n">
        <v>1</v>
      </c>
      <c r="E2060" s="31" t="n">
        <v>5262</v>
      </c>
      <c r="F2060" s="31" t="n">
        <v>789</v>
      </c>
      <c r="G2060" s="37" t="n">
        <v>0.149942987457241</v>
      </c>
    </row>
    <row r="2061" customFormat="false" ht="15" hidden="false" customHeight="false" outlineLevel="0" collapsed="false">
      <c r="A2061" s="20" t="s">
        <v>2426</v>
      </c>
      <c r="B2061" s="20" t="s">
        <v>194</v>
      </c>
      <c r="C2061" s="9" t="s">
        <v>1020</v>
      </c>
      <c r="D2061" s="9" t="n">
        <v>5</v>
      </c>
      <c r="E2061" s="30" t="n">
        <v>5245</v>
      </c>
      <c r="F2061" s="30" t="n">
        <v>785</v>
      </c>
      <c r="G2061" s="35" t="n">
        <v>0.149666348903718</v>
      </c>
    </row>
    <row r="2062" customFormat="false" ht="15" hidden="false" customHeight="false" outlineLevel="0" collapsed="false">
      <c r="A2062" s="25" t="s">
        <v>2427</v>
      </c>
      <c r="B2062" s="25" t="s">
        <v>194</v>
      </c>
      <c r="C2062" s="29" t="s">
        <v>203</v>
      </c>
      <c r="D2062" s="29" t="n">
        <v>1</v>
      </c>
      <c r="E2062" s="31" t="n">
        <v>5213</v>
      </c>
      <c r="F2062" s="31" t="n">
        <v>782</v>
      </c>
      <c r="G2062" s="37" t="n">
        <v>0.1500095914061</v>
      </c>
    </row>
    <row r="2063" customFormat="false" ht="15" hidden="false" customHeight="false" outlineLevel="0" collapsed="false">
      <c r="A2063" s="20" t="s">
        <v>2428</v>
      </c>
      <c r="B2063" s="9" t="s">
        <v>216</v>
      </c>
      <c r="C2063" s="9" t="s">
        <v>428</v>
      </c>
      <c r="D2063" s="9" t="n">
        <v>2</v>
      </c>
      <c r="E2063" s="30" t="n">
        <v>5208</v>
      </c>
      <c r="F2063" s="30" t="n">
        <v>906</v>
      </c>
      <c r="G2063" s="35" t="n">
        <v>0.173963133640553</v>
      </c>
    </row>
    <row r="2064" customFormat="false" ht="15" hidden="false" customHeight="false" outlineLevel="0" collapsed="false">
      <c r="A2064" s="25" t="s">
        <v>2429</v>
      </c>
      <c r="B2064" s="25" t="s">
        <v>194</v>
      </c>
      <c r="C2064" s="29" t="s">
        <v>334</v>
      </c>
      <c r="D2064" s="29" t="n">
        <v>2</v>
      </c>
      <c r="E2064" s="31" t="n">
        <v>5196</v>
      </c>
      <c r="F2064" s="31" t="n">
        <v>779</v>
      </c>
      <c r="G2064" s="37" t="n">
        <v>0.149923017705928</v>
      </c>
    </row>
    <row r="2065" customFormat="false" ht="15" hidden="false" customHeight="false" outlineLevel="0" collapsed="false">
      <c r="A2065" s="20" t="s">
        <v>2430</v>
      </c>
      <c r="B2065" s="9" t="s">
        <v>253</v>
      </c>
      <c r="C2065" s="9" t="s">
        <v>223</v>
      </c>
      <c r="D2065" s="9" t="n">
        <v>4</v>
      </c>
      <c r="E2065" s="30" t="n">
        <v>5196</v>
      </c>
      <c r="F2065" s="30" t="n">
        <v>780</v>
      </c>
      <c r="G2065" s="35" t="n">
        <v>0.150115473441109</v>
      </c>
    </row>
    <row r="2066" customFormat="false" ht="15" hidden="false" customHeight="false" outlineLevel="0" collapsed="false">
      <c r="A2066" s="25" t="s">
        <v>2431</v>
      </c>
      <c r="B2066" s="29" t="s">
        <v>1746</v>
      </c>
      <c r="C2066" s="29" t="s">
        <v>290</v>
      </c>
      <c r="D2066" s="29" t="n">
        <v>5</v>
      </c>
      <c r="E2066" s="31" t="n">
        <v>5190</v>
      </c>
      <c r="F2066" s="31" t="n">
        <v>778</v>
      </c>
      <c r="G2066" s="37" t="n">
        <v>0.14990366088632</v>
      </c>
    </row>
    <row r="2067" customFormat="false" ht="15" hidden="false" customHeight="false" outlineLevel="0" collapsed="false">
      <c r="A2067" s="20" t="s">
        <v>2432</v>
      </c>
      <c r="B2067" s="20" t="s">
        <v>194</v>
      </c>
      <c r="C2067" s="9" t="s">
        <v>203</v>
      </c>
      <c r="D2067" s="9" t="n">
        <v>10</v>
      </c>
      <c r="E2067" s="30" t="n">
        <v>5150</v>
      </c>
      <c r="F2067" s="30" t="n">
        <v>810</v>
      </c>
      <c r="G2067" s="35" t="n">
        <v>0.157281553398058</v>
      </c>
    </row>
    <row r="2068" customFormat="false" ht="15" hidden="false" customHeight="false" outlineLevel="0" collapsed="false">
      <c r="A2068" s="25" t="s">
        <v>2433</v>
      </c>
      <c r="B2068" s="25" t="s">
        <v>240</v>
      </c>
      <c r="C2068" s="29" t="s">
        <v>768</v>
      </c>
      <c r="D2068" s="29" t="n">
        <v>4</v>
      </c>
      <c r="E2068" s="31" t="n">
        <v>5120</v>
      </c>
      <c r="F2068" s="31" t="n">
        <v>768</v>
      </c>
      <c r="G2068" s="37" t="n">
        <v>0.15</v>
      </c>
    </row>
    <row r="2069" customFormat="false" ht="15" hidden="false" customHeight="false" outlineLevel="0" collapsed="false">
      <c r="A2069" s="20" t="s">
        <v>2434</v>
      </c>
      <c r="B2069" s="20" t="s">
        <v>200</v>
      </c>
      <c r="C2069" s="9" t="s">
        <v>1009</v>
      </c>
      <c r="D2069" s="9" t="n">
        <v>2</v>
      </c>
      <c r="E2069" s="30" t="n">
        <v>5108</v>
      </c>
      <c r="F2069" s="30" t="n">
        <v>766</v>
      </c>
      <c r="G2069" s="35" t="n">
        <v>0.149960845732185</v>
      </c>
    </row>
    <row r="2070" customFormat="false" ht="15" hidden="false" customHeight="false" outlineLevel="0" collapsed="false">
      <c r="A2070" s="25" t="s">
        <v>2435</v>
      </c>
      <c r="B2070" s="25" t="s">
        <v>194</v>
      </c>
      <c r="C2070" s="29" t="s">
        <v>1020</v>
      </c>
      <c r="D2070" s="29" t="n">
        <v>5</v>
      </c>
      <c r="E2070" s="31" t="n">
        <v>5105</v>
      </c>
      <c r="F2070" s="31" t="n">
        <v>765</v>
      </c>
      <c r="G2070" s="37" t="n">
        <v>0.149853085210578</v>
      </c>
    </row>
    <row r="2071" customFormat="false" ht="15" hidden="false" customHeight="false" outlineLevel="0" collapsed="false">
      <c r="A2071" s="20" t="s">
        <v>2436</v>
      </c>
      <c r="B2071" s="20" t="s">
        <v>1973</v>
      </c>
      <c r="C2071" s="9" t="s">
        <v>203</v>
      </c>
      <c r="D2071" s="9" t="n">
        <v>58</v>
      </c>
      <c r="E2071" s="30" t="n">
        <v>5104</v>
      </c>
      <c r="F2071" s="30" t="n">
        <v>763</v>
      </c>
      <c r="G2071" s="35" t="n">
        <v>0.149490595611285</v>
      </c>
    </row>
    <row r="2072" customFormat="false" ht="15" hidden="false" customHeight="false" outlineLevel="0" collapsed="false">
      <c r="A2072" s="25" t="s">
        <v>2437</v>
      </c>
      <c r="B2072" s="25" t="s">
        <v>194</v>
      </c>
      <c r="C2072" s="29" t="s">
        <v>203</v>
      </c>
      <c r="D2072" s="29" t="n">
        <v>9</v>
      </c>
      <c r="E2072" s="31" t="n">
        <v>5094</v>
      </c>
      <c r="F2072" s="31" t="n">
        <v>-9</v>
      </c>
      <c r="G2072" s="37" t="n">
        <v>-0.0017667844522968</v>
      </c>
    </row>
    <row r="2073" customFormat="false" ht="15" hidden="false" customHeight="false" outlineLevel="0" collapsed="false">
      <c r="A2073" s="20" t="s">
        <v>2438</v>
      </c>
      <c r="B2073" s="20" t="s">
        <v>194</v>
      </c>
      <c r="C2073" s="9" t="s">
        <v>217</v>
      </c>
      <c r="D2073" s="9" t="n">
        <v>10</v>
      </c>
      <c r="E2073" s="30" t="n">
        <v>5090</v>
      </c>
      <c r="F2073" s="30" t="n">
        <v>2560</v>
      </c>
      <c r="G2073" s="35" t="n">
        <v>0.50294695481336</v>
      </c>
    </row>
    <row r="2074" customFormat="false" ht="15" hidden="false" customHeight="false" outlineLevel="0" collapsed="false">
      <c r="A2074" s="25" t="s">
        <v>2439</v>
      </c>
      <c r="B2074" s="25" t="s">
        <v>200</v>
      </c>
      <c r="C2074" s="29" t="s">
        <v>223</v>
      </c>
      <c r="D2074" s="29" t="n">
        <v>7</v>
      </c>
      <c r="E2074" s="31" t="n">
        <v>5089</v>
      </c>
      <c r="F2074" s="31" t="n">
        <v>1120</v>
      </c>
      <c r="G2074" s="37" t="n">
        <v>0.220082530949106</v>
      </c>
    </row>
    <row r="2075" customFormat="false" ht="15" hidden="false" customHeight="false" outlineLevel="0" collapsed="false">
      <c r="A2075" s="20" t="s">
        <v>2440</v>
      </c>
      <c r="B2075" s="20" t="s">
        <v>194</v>
      </c>
      <c r="C2075" s="9" t="s">
        <v>231</v>
      </c>
      <c r="D2075" s="9" t="n">
        <v>1</v>
      </c>
      <c r="E2075" s="30" t="n">
        <v>5086</v>
      </c>
      <c r="F2075" s="30" t="n">
        <v>1726</v>
      </c>
      <c r="G2075" s="35" t="n">
        <v>0.339362957137239</v>
      </c>
    </row>
    <row r="2076" customFormat="false" ht="15" hidden="false" customHeight="false" outlineLevel="0" collapsed="false">
      <c r="A2076" s="25" t="s">
        <v>2441</v>
      </c>
      <c r="B2076" s="25" t="s">
        <v>194</v>
      </c>
      <c r="C2076" s="29" t="s">
        <v>391</v>
      </c>
      <c r="D2076" s="29" t="n">
        <v>4</v>
      </c>
      <c r="E2076" s="31" t="n">
        <v>5080</v>
      </c>
      <c r="F2076" s="31" t="n">
        <v>2620</v>
      </c>
      <c r="G2076" s="37" t="n">
        <v>0.515748031496063</v>
      </c>
    </row>
    <row r="2077" customFormat="false" ht="15" hidden="false" customHeight="false" outlineLevel="0" collapsed="false">
      <c r="A2077" s="20" t="s">
        <v>2442</v>
      </c>
      <c r="B2077" s="9" t="s">
        <v>216</v>
      </c>
      <c r="C2077" s="9" t="s">
        <v>428</v>
      </c>
      <c r="D2077" s="9" t="n">
        <v>4</v>
      </c>
      <c r="E2077" s="30" t="n">
        <v>5080</v>
      </c>
      <c r="F2077" s="30" t="n">
        <v>2740</v>
      </c>
      <c r="G2077" s="35" t="n">
        <v>0.539370078740158</v>
      </c>
    </row>
    <row r="2078" customFormat="false" ht="15" hidden="false" customHeight="false" outlineLevel="0" collapsed="false">
      <c r="A2078" s="25" t="s">
        <v>2443</v>
      </c>
      <c r="B2078" s="29" t="s">
        <v>253</v>
      </c>
      <c r="C2078" s="29" t="s">
        <v>439</v>
      </c>
      <c r="D2078" s="29" t="n">
        <v>1</v>
      </c>
      <c r="E2078" s="31" t="n">
        <v>5060</v>
      </c>
      <c r="F2078" s="31" t="n">
        <v>1260</v>
      </c>
      <c r="G2078" s="37" t="n">
        <v>0.24901185770751</v>
      </c>
    </row>
    <row r="2079" customFormat="false" ht="15" hidden="false" customHeight="false" outlineLevel="0" collapsed="false">
      <c r="A2079" s="20" t="s">
        <v>2444</v>
      </c>
      <c r="B2079" s="20" t="s">
        <v>194</v>
      </c>
      <c r="C2079" s="9" t="s">
        <v>223</v>
      </c>
      <c r="D2079" s="9" t="n">
        <v>4</v>
      </c>
      <c r="E2079" s="30" t="n">
        <v>5020</v>
      </c>
      <c r="F2079" s="30" t="n">
        <v>1560</v>
      </c>
      <c r="G2079" s="35" t="n">
        <v>0.310756972111554</v>
      </c>
    </row>
    <row r="2080" customFormat="false" ht="15" hidden="false" customHeight="false" outlineLevel="0" collapsed="false">
      <c r="A2080" s="25" t="s">
        <v>2445</v>
      </c>
      <c r="B2080" s="25" t="s">
        <v>220</v>
      </c>
      <c r="C2080" s="29" t="s">
        <v>428</v>
      </c>
      <c r="D2080" s="29" t="n">
        <v>1</v>
      </c>
      <c r="E2080" s="31" t="n">
        <v>5014</v>
      </c>
      <c r="F2080" s="31" t="n">
        <v>1755</v>
      </c>
      <c r="G2080" s="37" t="n">
        <v>0.350019944156362</v>
      </c>
    </row>
    <row r="2081" customFormat="false" ht="15" hidden="false" customHeight="false" outlineLevel="0" collapsed="false">
      <c r="A2081" s="20" t="s">
        <v>2446</v>
      </c>
      <c r="B2081" s="20" t="s">
        <v>194</v>
      </c>
      <c r="C2081" s="9" t="s">
        <v>2160</v>
      </c>
      <c r="D2081" s="9" t="n">
        <v>5</v>
      </c>
      <c r="E2081" s="30" t="n">
        <v>5005</v>
      </c>
      <c r="F2081" s="30" t="n">
        <v>751</v>
      </c>
      <c r="G2081" s="35" t="n">
        <v>0.15004995004995</v>
      </c>
    </row>
    <row r="2082" customFormat="false" ht="15" hidden="false" customHeight="false" outlineLevel="0" collapsed="false">
      <c r="A2082" s="25" t="s">
        <v>2447</v>
      </c>
      <c r="B2082" s="25" t="s">
        <v>200</v>
      </c>
      <c r="C2082" s="29" t="s">
        <v>355</v>
      </c>
      <c r="D2082" s="29" t="n">
        <v>2</v>
      </c>
      <c r="E2082" s="31" t="n">
        <v>5000</v>
      </c>
      <c r="F2082" s="31" t="n">
        <v>750</v>
      </c>
      <c r="G2082" s="37" t="n">
        <v>0.15</v>
      </c>
    </row>
    <row r="2083" customFormat="false" ht="15" hidden="false" customHeight="false" outlineLevel="0" collapsed="false">
      <c r="A2083" s="20" t="s">
        <v>2448</v>
      </c>
      <c r="B2083" s="20" t="s">
        <v>200</v>
      </c>
      <c r="C2083" s="9" t="s">
        <v>258</v>
      </c>
      <c r="D2083" s="9" t="n">
        <v>454</v>
      </c>
      <c r="E2083" s="30" t="n">
        <v>4994</v>
      </c>
      <c r="F2083" s="30" t="n">
        <v>749</v>
      </c>
      <c r="G2083" s="35" t="n">
        <v>0.149979975971165</v>
      </c>
    </row>
    <row r="2084" customFormat="false" ht="15" hidden="false" customHeight="false" outlineLevel="0" collapsed="false">
      <c r="A2084" s="25" t="s">
        <v>2449</v>
      </c>
      <c r="B2084" s="25" t="s">
        <v>200</v>
      </c>
      <c r="C2084" s="29" t="s">
        <v>880</v>
      </c>
      <c r="D2084" s="29" t="n">
        <v>1</v>
      </c>
      <c r="E2084" s="31" t="n">
        <v>4992</v>
      </c>
      <c r="F2084" s="31" t="n">
        <v>3892</v>
      </c>
      <c r="G2084" s="37" t="n">
        <v>0.779647435897436</v>
      </c>
    </row>
    <row r="2085" customFormat="false" ht="15" hidden="false" customHeight="false" outlineLevel="0" collapsed="false">
      <c r="A2085" s="20" t="s">
        <v>2450</v>
      </c>
      <c r="B2085" s="9" t="s">
        <v>253</v>
      </c>
      <c r="C2085" s="9" t="s">
        <v>229</v>
      </c>
      <c r="D2085" s="9" t="n">
        <v>1</v>
      </c>
      <c r="E2085" s="30" t="n">
        <v>4973</v>
      </c>
      <c r="F2085" s="30" t="n">
        <v>667</v>
      </c>
      <c r="G2085" s="35" t="n">
        <v>0.134124271063744</v>
      </c>
    </row>
    <row r="2086" customFormat="false" ht="15" hidden="false" customHeight="false" outlineLevel="0" collapsed="false">
      <c r="A2086" s="25" t="s">
        <v>2451</v>
      </c>
      <c r="B2086" s="25" t="s">
        <v>194</v>
      </c>
      <c r="C2086" s="29" t="s">
        <v>223</v>
      </c>
      <c r="D2086" s="29" t="n">
        <v>5</v>
      </c>
      <c r="E2086" s="31" t="n">
        <v>4965</v>
      </c>
      <c r="F2086" s="31" t="n">
        <v>745</v>
      </c>
      <c r="G2086" s="37" t="n">
        <v>0.150050352467271</v>
      </c>
    </row>
    <row r="2087" customFormat="false" ht="15" hidden="false" customHeight="false" outlineLevel="0" collapsed="false">
      <c r="A2087" s="20" t="s">
        <v>2452</v>
      </c>
      <c r="B2087" s="20" t="s">
        <v>200</v>
      </c>
      <c r="C2087" s="9" t="s">
        <v>880</v>
      </c>
      <c r="D2087" s="9" t="n">
        <v>1</v>
      </c>
      <c r="E2087" s="30" t="n">
        <v>4940</v>
      </c>
      <c r="F2087" s="30" t="n">
        <v>1139</v>
      </c>
      <c r="G2087" s="35" t="n">
        <v>0.230566801619433</v>
      </c>
    </row>
    <row r="2088" customFormat="false" ht="15" hidden="false" customHeight="false" outlineLevel="0" collapsed="false">
      <c r="A2088" s="25" t="s">
        <v>2453</v>
      </c>
      <c r="B2088" s="29" t="s">
        <v>253</v>
      </c>
      <c r="C2088" s="29" t="s">
        <v>428</v>
      </c>
      <c r="D2088" s="29" t="n">
        <v>5</v>
      </c>
      <c r="E2088" s="31" t="n">
        <v>4930</v>
      </c>
      <c r="F2088" s="31" t="n">
        <v>1985</v>
      </c>
      <c r="G2088" s="37" t="n">
        <v>0.4026369168357</v>
      </c>
    </row>
    <row r="2089" customFormat="false" ht="15" hidden="false" customHeight="false" outlineLevel="0" collapsed="false">
      <c r="A2089" s="20" t="s">
        <v>2454</v>
      </c>
      <c r="B2089" s="9" t="s">
        <v>253</v>
      </c>
      <c r="C2089" s="9" t="s">
        <v>428</v>
      </c>
      <c r="D2089" s="9" t="n">
        <v>4</v>
      </c>
      <c r="E2089" s="30" t="n">
        <v>4908</v>
      </c>
      <c r="F2089" s="30" t="n">
        <v>2572</v>
      </c>
      <c r="G2089" s="35" t="n">
        <v>0.524042379788101</v>
      </c>
    </row>
    <row r="2090" customFormat="false" ht="15" hidden="false" customHeight="false" outlineLevel="0" collapsed="false">
      <c r="A2090" s="25" t="s">
        <v>2455</v>
      </c>
      <c r="B2090" s="29" t="s">
        <v>253</v>
      </c>
      <c r="C2090" s="29" t="s">
        <v>229</v>
      </c>
      <c r="D2090" s="29" t="n">
        <v>3</v>
      </c>
      <c r="E2090" s="31" t="n">
        <v>4899</v>
      </c>
      <c r="F2090" s="31" t="n">
        <v>735</v>
      </c>
      <c r="G2090" s="37" t="n">
        <v>0.15003061849357</v>
      </c>
    </row>
    <row r="2091" customFormat="false" ht="15" hidden="false" customHeight="false" outlineLevel="0" collapsed="false">
      <c r="A2091" s="20" t="s">
        <v>2456</v>
      </c>
      <c r="B2091" s="20" t="s">
        <v>240</v>
      </c>
      <c r="C2091" s="9" t="s">
        <v>368</v>
      </c>
      <c r="D2091" s="9" t="n">
        <v>4</v>
      </c>
      <c r="E2091" s="30" t="n">
        <v>4888</v>
      </c>
      <c r="F2091" s="30" t="n">
        <v>2152</v>
      </c>
      <c r="G2091" s="35" t="n">
        <v>0.440261865793781</v>
      </c>
    </row>
    <row r="2092" customFormat="false" ht="15" hidden="false" customHeight="false" outlineLevel="0" collapsed="false">
      <c r="A2092" s="25" t="s">
        <v>2457</v>
      </c>
      <c r="B2092" s="25" t="s">
        <v>194</v>
      </c>
      <c r="C2092" s="29" t="s">
        <v>203</v>
      </c>
      <c r="D2092" s="29" t="n">
        <v>2</v>
      </c>
      <c r="E2092" s="31" t="n">
        <v>4886</v>
      </c>
      <c r="F2092" s="31" t="n">
        <v>3486</v>
      </c>
      <c r="G2092" s="37" t="n">
        <v>0.713467048710602</v>
      </c>
    </row>
    <row r="2093" customFormat="false" ht="15" hidden="false" customHeight="false" outlineLevel="0" collapsed="false">
      <c r="A2093" s="20" t="s">
        <v>2458</v>
      </c>
      <c r="B2093" s="20" t="s">
        <v>194</v>
      </c>
      <c r="C2093" s="9" t="s">
        <v>223</v>
      </c>
      <c r="D2093" s="9" t="n">
        <v>1</v>
      </c>
      <c r="E2093" s="30" t="n">
        <v>4861</v>
      </c>
      <c r="F2093" s="30" t="n">
        <v>729</v>
      </c>
      <c r="G2093" s="35" t="n">
        <v>0.149969142151821</v>
      </c>
    </row>
    <row r="2094" customFormat="false" ht="15" hidden="false" customHeight="false" outlineLevel="0" collapsed="false">
      <c r="A2094" s="25" t="s">
        <v>2459</v>
      </c>
      <c r="B2094" s="25" t="s">
        <v>194</v>
      </c>
      <c r="C2094" s="29" t="s">
        <v>1183</v>
      </c>
      <c r="D2094" s="29" t="n">
        <v>1</v>
      </c>
      <c r="E2094" s="31" t="n">
        <v>4809</v>
      </c>
      <c r="F2094" s="31" t="n">
        <v>2245</v>
      </c>
      <c r="G2094" s="37" t="n">
        <v>0.466833021418174</v>
      </c>
    </row>
    <row r="2095" customFormat="false" ht="15" hidden="false" customHeight="false" outlineLevel="0" collapsed="false">
      <c r="A2095" s="20" t="s">
        <v>2460</v>
      </c>
      <c r="B2095" s="20" t="s">
        <v>194</v>
      </c>
      <c r="C2095" s="9" t="s">
        <v>223</v>
      </c>
      <c r="D2095" s="9" t="n">
        <v>1</v>
      </c>
      <c r="E2095" s="30" t="n">
        <v>4803</v>
      </c>
      <c r="F2095" s="30" t="n">
        <v>720</v>
      </c>
      <c r="G2095" s="35" t="n">
        <v>0.149906308557152</v>
      </c>
    </row>
    <row r="2096" customFormat="false" ht="15" hidden="false" customHeight="false" outlineLevel="0" collapsed="false">
      <c r="A2096" s="25" t="s">
        <v>2461</v>
      </c>
      <c r="B2096" s="29" t="s">
        <v>253</v>
      </c>
      <c r="C2096" s="29" t="s">
        <v>428</v>
      </c>
      <c r="D2096" s="29" t="n">
        <v>3</v>
      </c>
      <c r="E2096" s="31" t="n">
        <v>4800</v>
      </c>
      <c r="F2096" s="31" t="n">
        <v>1107</v>
      </c>
      <c r="G2096" s="37" t="n">
        <v>0.230625</v>
      </c>
    </row>
    <row r="2097" customFormat="false" ht="15" hidden="false" customHeight="false" outlineLevel="0" collapsed="false">
      <c r="A2097" s="20" t="s">
        <v>2462</v>
      </c>
      <c r="B2097" s="20" t="s">
        <v>2463</v>
      </c>
      <c r="C2097" s="9" t="s">
        <v>516</v>
      </c>
      <c r="D2097" s="9" t="n">
        <v>40</v>
      </c>
      <c r="E2097" s="30" t="n">
        <v>4800</v>
      </c>
      <c r="F2097" s="30" t="n">
        <v>720</v>
      </c>
      <c r="G2097" s="35" t="n">
        <v>0.15</v>
      </c>
    </row>
    <row r="2098" customFormat="false" ht="15" hidden="false" customHeight="false" outlineLevel="0" collapsed="false">
      <c r="A2098" s="25" t="s">
        <v>2464</v>
      </c>
      <c r="B2098" s="25" t="s">
        <v>194</v>
      </c>
      <c r="C2098" s="29" t="s">
        <v>223</v>
      </c>
      <c r="D2098" s="29" t="n">
        <v>1</v>
      </c>
      <c r="E2098" s="31" t="n">
        <v>4796</v>
      </c>
      <c r="F2098" s="31" t="n">
        <v>695</v>
      </c>
      <c r="G2098" s="37" t="n">
        <v>0.144912427022519</v>
      </c>
    </row>
    <row r="2099" customFormat="false" ht="15" hidden="false" customHeight="false" outlineLevel="0" collapsed="false">
      <c r="A2099" s="20" t="s">
        <v>2465</v>
      </c>
      <c r="B2099" s="20" t="s">
        <v>200</v>
      </c>
      <c r="C2099" s="9" t="s">
        <v>880</v>
      </c>
      <c r="D2099" s="9" t="n">
        <v>2</v>
      </c>
      <c r="E2099" s="30" t="n">
        <v>4772</v>
      </c>
      <c r="F2099" s="30" t="n">
        <v>2172</v>
      </c>
      <c r="G2099" s="35" t="n">
        <v>0.455155071248952</v>
      </c>
    </row>
    <row r="2100" customFormat="false" ht="15" hidden="false" customHeight="false" outlineLevel="0" collapsed="false">
      <c r="A2100" s="25" t="s">
        <v>2466</v>
      </c>
      <c r="B2100" s="25" t="s">
        <v>194</v>
      </c>
      <c r="C2100" s="29" t="s">
        <v>203</v>
      </c>
      <c r="D2100" s="29" t="n">
        <v>1</v>
      </c>
      <c r="E2100" s="31" t="n">
        <v>4761</v>
      </c>
      <c r="F2100" s="31" t="n">
        <v>1058</v>
      </c>
      <c r="G2100" s="37" t="n">
        <v>0.222222222222222</v>
      </c>
    </row>
    <row r="2101" customFormat="false" ht="15" hidden="false" customHeight="false" outlineLevel="0" collapsed="false">
      <c r="A2101" s="20" t="s">
        <v>2467</v>
      </c>
      <c r="B2101" s="20" t="s">
        <v>200</v>
      </c>
      <c r="C2101" s="9" t="s">
        <v>223</v>
      </c>
      <c r="D2101" s="9" t="n">
        <v>5</v>
      </c>
      <c r="E2101" s="30" t="n">
        <v>4755</v>
      </c>
      <c r="F2101" s="30" t="n">
        <v>2375</v>
      </c>
      <c r="G2101" s="35" t="n">
        <v>0.499474237644585</v>
      </c>
    </row>
    <row r="2102" customFormat="false" ht="15" hidden="false" customHeight="false" outlineLevel="0" collapsed="false">
      <c r="A2102" s="25" t="s">
        <v>2468</v>
      </c>
      <c r="B2102" s="25" t="s">
        <v>200</v>
      </c>
      <c r="C2102" s="29" t="s">
        <v>223</v>
      </c>
      <c r="D2102" s="29" t="n">
        <v>1</v>
      </c>
      <c r="E2102" s="31" t="n">
        <v>4739</v>
      </c>
      <c r="F2102" s="31" t="n">
        <v>711</v>
      </c>
      <c r="G2102" s="37" t="n">
        <v>0.15003165224731</v>
      </c>
    </row>
    <row r="2103" customFormat="false" ht="15" hidden="false" customHeight="false" outlineLevel="0" collapsed="false">
      <c r="A2103" s="20" t="s">
        <v>2469</v>
      </c>
      <c r="B2103" s="9" t="s">
        <v>216</v>
      </c>
      <c r="C2103" s="9" t="s">
        <v>927</v>
      </c>
      <c r="D2103" s="9" t="n">
        <v>3</v>
      </c>
      <c r="E2103" s="30" t="n">
        <v>4737</v>
      </c>
      <c r="F2103" s="30" t="n">
        <v>711</v>
      </c>
      <c r="G2103" s="35" t="n">
        <v>0.150094996833439</v>
      </c>
    </row>
    <row r="2104" customFormat="false" ht="15" hidden="false" customHeight="false" outlineLevel="0" collapsed="false">
      <c r="A2104" s="25" t="s">
        <v>2470</v>
      </c>
      <c r="B2104" s="25" t="s">
        <v>194</v>
      </c>
      <c r="C2104" s="29" t="s">
        <v>223</v>
      </c>
      <c r="D2104" s="29" t="n">
        <v>1</v>
      </c>
      <c r="E2104" s="31" t="n">
        <v>4736</v>
      </c>
      <c r="F2104" s="31" t="n">
        <v>1812</v>
      </c>
      <c r="G2104" s="37" t="n">
        <v>0.382601351351351</v>
      </c>
    </row>
    <row r="2105" customFormat="false" ht="15" hidden="false" customHeight="false" outlineLevel="0" collapsed="false">
      <c r="A2105" s="20" t="s">
        <v>2471</v>
      </c>
      <c r="B2105" s="9" t="s">
        <v>962</v>
      </c>
      <c r="C2105" s="9" t="s">
        <v>223</v>
      </c>
      <c r="D2105" s="9" t="n">
        <v>3</v>
      </c>
      <c r="E2105" s="30" t="n">
        <v>4734</v>
      </c>
      <c r="F2105" s="30" t="n">
        <v>711</v>
      </c>
      <c r="G2105" s="35" t="n">
        <v>0.150190114068441</v>
      </c>
    </row>
    <row r="2106" customFormat="false" ht="15" hidden="false" customHeight="false" outlineLevel="0" collapsed="false">
      <c r="A2106" s="25" t="s">
        <v>2472</v>
      </c>
      <c r="B2106" s="25" t="s">
        <v>220</v>
      </c>
      <c r="C2106" s="29" t="s">
        <v>368</v>
      </c>
      <c r="D2106" s="29" t="n">
        <v>5</v>
      </c>
      <c r="E2106" s="31" t="n">
        <v>4730</v>
      </c>
      <c r="F2106" s="31" t="n">
        <v>4205</v>
      </c>
      <c r="G2106" s="37" t="n">
        <v>0.889006342494715</v>
      </c>
    </row>
    <row r="2107" customFormat="false" ht="15" hidden="false" customHeight="false" outlineLevel="0" collapsed="false">
      <c r="A2107" s="20" t="s">
        <v>2473</v>
      </c>
      <c r="B2107" s="20" t="s">
        <v>194</v>
      </c>
      <c r="C2107" s="9" t="s">
        <v>206</v>
      </c>
      <c r="D2107" s="9" t="n">
        <v>1</v>
      </c>
      <c r="E2107" s="30" t="n">
        <v>4707</v>
      </c>
      <c r="F2107" s="30" t="n">
        <v>706</v>
      </c>
      <c r="G2107" s="35" t="n">
        <v>0.149989377522838</v>
      </c>
    </row>
    <row r="2108" customFormat="false" ht="15" hidden="false" customHeight="false" outlineLevel="0" collapsed="false">
      <c r="A2108" s="25" t="s">
        <v>2474</v>
      </c>
      <c r="B2108" s="25" t="s">
        <v>855</v>
      </c>
      <c r="C2108" s="29" t="s">
        <v>334</v>
      </c>
      <c r="D2108" s="29" t="n">
        <v>4</v>
      </c>
      <c r="E2108" s="31" t="n">
        <v>4704</v>
      </c>
      <c r="F2108" s="31" t="n">
        <v>706</v>
      </c>
      <c r="G2108" s="37" t="n">
        <v>0.150085034013605</v>
      </c>
    </row>
    <row r="2109" customFormat="false" ht="15" hidden="false" customHeight="false" outlineLevel="0" collapsed="false">
      <c r="A2109" s="20" t="s">
        <v>2475</v>
      </c>
      <c r="B2109" s="20" t="s">
        <v>2476</v>
      </c>
      <c r="C2109" s="9" t="s">
        <v>316</v>
      </c>
      <c r="D2109" s="9" t="n">
        <v>50</v>
      </c>
      <c r="E2109" s="30" t="n">
        <v>4700</v>
      </c>
      <c r="F2109" s="30" t="n">
        <v>705</v>
      </c>
      <c r="G2109" s="35" t="n">
        <v>0.15</v>
      </c>
    </row>
    <row r="2110" customFormat="false" ht="15" hidden="false" customHeight="false" outlineLevel="0" collapsed="false">
      <c r="A2110" s="25" t="s">
        <v>2477</v>
      </c>
      <c r="B2110" s="25" t="s">
        <v>855</v>
      </c>
      <c r="C2110" s="29" t="s">
        <v>334</v>
      </c>
      <c r="D2110" s="29" t="n">
        <v>4</v>
      </c>
      <c r="E2110" s="31" t="n">
        <v>4692</v>
      </c>
      <c r="F2110" s="31" t="n">
        <v>704</v>
      </c>
      <c r="G2110" s="37" t="n">
        <v>0.150042625745951</v>
      </c>
    </row>
    <row r="2111" customFormat="false" ht="15" hidden="false" customHeight="false" outlineLevel="0" collapsed="false">
      <c r="A2111" s="20" t="s">
        <v>2478</v>
      </c>
      <c r="B2111" s="20" t="s">
        <v>194</v>
      </c>
      <c r="C2111" s="9" t="s">
        <v>223</v>
      </c>
      <c r="D2111" s="9" t="n">
        <v>2</v>
      </c>
      <c r="E2111" s="30" t="n">
        <v>4686</v>
      </c>
      <c r="F2111" s="30" t="n">
        <v>703</v>
      </c>
      <c r="G2111" s="35" t="n">
        <v>0.150021340162185</v>
      </c>
    </row>
    <row r="2112" customFormat="false" ht="15" hidden="false" customHeight="false" outlineLevel="0" collapsed="false">
      <c r="A2112" s="25" t="s">
        <v>2479</v>
      </c>
      <c r="B2112" s="29" t="s">
        <v>253</v>
      </c>
      <c r="C2112" s="29" t="s">
        <v>223</v>
      </c>
      <c r="D2112" s="29" t="n">
        <v>4</v>
      </c>
      <c r="E2112" s="31" t="n">
        <v>4676</v>
      </c>
      <c r="F2112" s="31" t="n">
        <v>700</v>
      </c>
      <c r="G2112" s="37" t="n">
        <v>0.149700598802395</v>
      </c>
    </row>
    <row r="2113" customFormat="false" ht="15" hidden="false" customHeight="false" outlineLevel="0" collapsed="false">
      <c r="A2113" s="20" t="s">
        <v>2480</v>
      </c>
      <c r="B2113" s="9" t="s">
        <v>253</v>
      </c>
      <c r="C2113" s="9" t="s">
        <v>223</v>
      </c>
      <c r="D2113" s="9" t="n">
        <v>7</v>
      </c>
      <c r="E2113" s="30" t="n">
        <v>4676</v>
      </c>
      <c r="F2113" s="30" t="n">
        <v>700</v>
      </c>
      <c r="G2113" s="35" t="n">
        <v>0.149700598802395</v>
      </c>
    </row>
    <row r="2114" customFormat="false" ht="15" hidden="false" customHeight="false" outlineLevel="0" collapsed="false">
      <c r="A2114" s="25" t="s">
        <v>2481</v>
      </c>
      <c r="B2114" s="25" t="s">
        <v>200</v>
      </c>
      <c r="C2114" s="29" t="s">
        <v>297</v>
      </c>
      <c r="D2114" s="29" t="n">
        <v>1</v>
      </c>
      <c r="E2114" s="31" t="n">
        <v>4665</v>
      </c>
      <c r="F2114" s="31" t="n">
        <v>700</v>
      </c>
      <c r="G2114" s="37" t="n">
        <v>0.15005359056806</v>
      </c>
    </row>
    <row r="2115" customFormat="false" ht="15" hidden="false" customHeight="false" outlineLevel="0" collapsed="false">
      <c r="A2115" s="20" t="s">
        <v>2482</v>
      </c>
      <c r="B2115" s="20" t="s">
        <v>194</v>
      </c>
      <c r="C2115" s="9" t="s">
        <v>223</v>
      </c>
      <c r="D2115" s="9" t="n">
        <v>3</v>
      </c>
      <c r="E2115" s="30" t="n">
        <v>4665</v>
      </c>
      <c r="F2115" s="30" t="n">
        <v>2592</v>
      </c>
      <c r="G2115" s="35" t="n">
        <v>0.555627009646302</v>
      </c>
    </row>
    <row r="2116" customFormat="false" ht="15" hidden="false" customHeight="false" outlineLevel="0" collapsed="false">
      <c r="A2116" s="25" t="s">
        <v>2483</v>
      </c>
      <c r="B2116" s="29" t="s">
        <v>253</v>
      </c>
      <c r="C2116" s="29" t="s">
        <v>223</v>
      </c>
      <c r="D2116" s="29" t="n">
        <v>1</v>
      </c>
      <c r="E2116" s="31" t="n">
        <v>4664</v>
      </c>
      <c r="F2116" s="31" t="n">
        <v>700</v>
      </c>
      <c r="G2116" s="37" t="n">
        <v>0.15008576329331</v>
      </c>
    </row>
    <row r="2117" customFormat="false" ht="15" hidden="false" customHeight="false" outlineLevel="0" collapsed="false">
      <c r="A2117" s="20" t="s">
        <v>2484</v>
      </c>
      <c r="B2117" s="20" t="s">
        <v>200</v>
      </c>
      <c r="C2117" s="9" t="s">
        <v>880</v>
      </c>
      <c r="D2117" s="9" t="n">
        <v>1</v>
      </c>
      <c r="E2117" s="30" t="n">
        <v>4655</v>
      </c>
      <c r="F2117" s="30" t="n">
        <v>585</v>
      </c>
      <c r="G2117" s="35" t="n">
        <v>0.125671321160043</v>
      </c>
    </row>
    <row r="2118" customFormat="false" ht="15" hidden="false" customHeight="false" outlineLevel="0" collapsed="false">
      <c r="A2118" s="25" t="s">
        <v>2485</v>
      </c>
      <c r="B2118" s="25" t="s">
        <v>2486</v>
      </c>
      <c r="C2118" s="29" t="s">
        <v>880</v>
      </c>
      <c r="D2118" s="29" t="n">
        <v>1</v>
      </c>
      <c r="E2118" s="31" t="n">
        <v>4643</v>
      </c>
      <c r="F2118" s="31" t="n">
        <v>1987</v>
      </c>
      <c r="G2118" s="37" t="n">
        <v>0.427956062890373</v>
      </c>
    </row>
    <row r="2119" customFormat="false" ht="15" hidden="false" customHeight="false" outlineLevel="0" collapsed="false">
      <c r="A2119" s="20" t="s">
        <v>2487</v>
      </c>
      <c r="B2119" s="9" t="s">
        <v>216</v>
      </c>
      <c r="C2119" s="9" t="s">
        <v>927</v>
      </c>
      <c r="D2119" s="9" t="n">
        <v>3</v>
      </c>
      <c r="E2119" s="30" t="n">
        <v>4641</v>
      </c>
      <c r="F2119" s="30" t="n">
        <v>696</v>
      </c>
      <c r="G2119" s="35" t="n">
        <v>0.149967679379444</v>
      </c>
    </row>
    <row r="2120" customFormat="false" ht="15" hidden="false" customHeight="false" outlineLevel="0" collapsed="false">
      <c r="A2120" s="25" t="s">
        <v>2488</v>
      </c>
      <c r="B2120" s="29" t="s">
        <v>253</v>
      </c>
      <c r="C2120" s="29" t="s">
        <v>428</v>
      </c>
      <c r="D2120" s="29" t="n">
        <v>3</v>
      </c>
      <c r="E2120" s="31" t="n">
        <v>4638</v>
      </c>
      <c r="F2120" s="31" t="n">
        <v>2124</v>
      </c>
      <c r="G2120" s="37" t="n">
        <v>0.457956015523933</v>
      </c>
    </row>
    <row r="2121" customFormat="false" ht="15" hidden="false" customHeight="false" outlineLevel="0" collapsed="false">
      <c r="A2121" s="20" t="s">
        <v>2489</v>
      </c>
      <c r="B2121" s="9" t="s">
        <v>253</v>
      </c>
      <c r="C2121" s="9" t="s">
        <v>428</v>
      </c>
      <c r="D2121" s="9" t="n">
        <v>10</v>
      </c>
      <c r="E2121" s="30" t="n">
        <v>4630</v>
      </c>
      <c r="F2121" s="30" t="n">
        <v>3870</v>
      </c>
      <c r="G2121" s="35" t="n">
        <v>0.83585313174946</v>
      </c>
    </row>
    <row r="2122" customFormat="false" ht="15" hidden="false" customHeight="false" outlineLevel="0" collapsed="false">
      <c r="A2122" s="25" t="s">
        <v>2490</v>
      </c>
      <c r="B2122" s="29" t="s">
        <v>253</v>
      </c>
      <c r="C2122" s="29" t="s">
        <v>223</v>
      </c>
      <c r="D2122" s="29" t="n">
        <v>5</v>
      </c>
      <c r="E2122" s="31" t="n">
        <v>4620</v>
      </c>
      <c r="F2122" s="31" t="n">
        <v>695</v>
      </c>
      <c r="G2122" s="37" t="n">
        <v>0.1504329004329</v>
      </c>
    </row>
    <row r="2123" customFormat="false" ht="15" hidden="false" customHeight="false" outlineLevel="0" collapsed="false">
      <c r="A2123" s="20" t="s">
        <v>2491</v>
      </c>
      <c r="B2123" s="20" t="s">
        <v>194</v>
      </c>
      <c r="C2123" s="9" t="s">
        <v>880</v>
      </c>
      <c r="D2123" s="9" t="n">
        <v>1</v>
      </c>
      <c r="E2123" s="30" t="n">
        <v>4604</v>
      </c>
      <c r="F2123" s="30" t="n">
        <v>691</v>
      </c>
      <c r="G2123" s="35" t="n">
        <v>0.150086880973067</v>
      </c>
    </row>
    <row r="2124" customFormat="false" ht="15" hidden="false" customHeight="false" outlineLevel="0" collapsed="false">
      <c r="A2124" s="25" t="s">
        <v>2492</v>
      </c>
      <c r="B2124" s="29" t="s">
        <v>281</v>
      </c>
      <c r="C2124" s="29" t="s">
        <v>197</v>
      </c>
      <c r="D2124" s="29" t="n">
        <v>3</v>
      </c>
      <c r="E2124" s="31" t="n">
        <v>4602</v>
      </c>
      <c r="F2124" s="31" t="n">
        <v>1290</v>
      </c>
      <c r="G2124" s="37" t="n">
        <v>0.280312907431552</v>
      </c>
    </row>
    <row r="2125" customFormat="false" ht="15" hidden="false" customHeight="false" outlineLevel="0" collapsed="false">
      <c r="A2125" s="20" t="s">
        <v>2493</v>
      </c>
      <c r="B2125" s="9" t="s">
        <v>253</v>
      </c>
      <c r="C2125" s="9" t="s">
        <v>428</v>
      </c>
      <c r="D2125" s="9" t="n">
        <v>5</v>
      </c>
      <c r="E2125" s="30" t="n">
        <v>4595</v>
      </c>
      <c r="F2125" s="30" t="n">
        <v>2090</v>
      </c>
      <c r="G2125" s="35" t="n">
        <v>0.454842219804135</v>
      </c>
    </row>
    <row r="2126" customFormat="false" ht="15" hidden="false" customHeight="false" outlineLevel="0" collapsed="false">
      <c r="A2126" s="25" t="s">
        <v>2494</v>
      </c>
      <c r="B2126" s="25" t="s">
        <v>194</v>
      </c>
      <c r="C2126" s="29" t="s">
        <v>203</v>
      </c>
      <c r="D2126" s="29" t="n">
        <v>3</v>
      </c>
      <c r="E2126" s="31" t="n">
        <v>4590</v>
      </c>
      <c r="F2126" s="31" t="n">
        <v>687</v>
      </c>
      <c r="G2126" s="37" t="n">
        <v>0.149673202614379</v>
      </c>
    </row>
    <row r="2127" customFormat="false" ht="15" hidden="false" customHeight="false" outlineLevel="0" collapsed="false">
      <c r="A2127" s="20" t="s">
        <v>2495</v>
      </c>
      <c r="B2127" s="20" t="s">
        <v>2496</v>
      </c>
      <c r="C2127" s="9" t="s">
        <v>203</v>
      </c>
      <c r="D2127" s="9" t="n">
        <v>17</v>
      </c>
      <c r="E2127" s="30" t="n">
        <v>4573</v>
      </c>
      <c r="F2127" s="30" t="n">
        <v>682</v>
      </c>
      <c r="G2127" s="35" t="n">
        <v>0.149136234419418</v>
      </c>
    </row>
    <row r="2128" customFormat="false" ht="15" hidden="false" customHeight="false" outlineLevel="0" collapsed="false">
      <c r="A2128" s="25" t="s">
        <v>2497</v>
      </c>
      <c r="B2128" s="29" t="s">
        <v>253</v>
      </c>
      <c r="C2128" s="29" t="s">
        <v>428</v>
      </c>
      <c r="D2128" s="29" t="n">
        <v>10</v>
      </c>
      <c r="E2128" s="31" t="n">
        <v>4570</v>
      </c>
      <c r="F2128" s="31" t="n">
        <v>570</v>
      </c>
      <c r="G2128" s="37" t="n">
        <v>0.12472647702407</v>
      </c>
    </row>
    <row r="2129" customFormat="false" ht="15" hidden="false" customHeight="false" outlineLevel="0" collapsed="false">
      <c r="A2129" s="20" t="s">
        <v>2498</v>
      </c>
      <c r="B2129" s="9" t="s">
        <v>216</v>
      </c>
      <c r="C2129" s="9" t="s">
        <v>428</v>
      </c>
      <c r="D2129" s="9" t="n">
        <v>3</v>
      </c>
      <c r="E2129" s="30" t="n">
        <v>4563</v>
      </c>
      <c r="F2129" s="30" t="n">
        <v>2097</v>
      </c>
      <c r="G2129" s="35" t="n">
        <v>0.45956607495069</v>
      </c>
    </row>
    <row r="2130" customFormat="false" ht="15" hidden="false" customHeight="false" outlineLevel="0" collapsed="false">
      <c r="A2130" s="25" t="s">
        <v>2499</v>
      </c>
      <c r="B2130" s="29" t="s">
        <v>253</v>
      </c>
      <c r="C2130" s="29" t="s">
        <v>428</v>
      </c>
      <c r="D2130" s="29" t="n">
        <v>2</v>
      </c>
      <c r="E2130" s="31" t="n">
        <v>4554</v>
      </c>
      <c r="F2130" s="31" t="n">
        <v>820</v>
      </c>
      <c r="G2130" s="37" t="n">
        <v>0.180061484409311</v>
      </c>
    </row>
    <row r="2131" customFormat="false" ht="15" hidden="false" customHeight="false" outlineLevel="0" collapsed="false">
      <c r="A2131" s="20" t="s">
        <v>2500</v>
      </c>
      <c r="B2131" s="20" t="s">
        <v>240</v>
      </c>
      <c r="C2131" s="9" t="s">
        <v>380</v>
      </c>
      <c r="D2131" s="9" t="n">
        <v>20</v>
      </c>
      <c r="E2131" s="30" t="n">
        <v>4540</v>
      </c>
      <c r="F2131" s="30" t="n">
        <v>1560</v>
      </c>
      <c r="G2131" s="35" t="n">
        <v>0.343612334801762</v>
      </c>
    </row>
    <row r="2132" customFormat="false" ht="15" hidden="false" customHeight="false" outlineLevel="0" collapsed="false">
      <c r="A2132" s="25" t="s">
        <v>2501</v>
      </c>
      <c r="B2132" s="25" t="s">
        <v>200</v>
      </c>
      <c r="C2132" s="29" t="s">
        <v>428</v>
      </c>
      <c r="D2132" s="29" t="n">
        <v>8</v>
      </c>
      <c r="E2132" s="31" t="n">
        <v>4528</v>
      </c>
      <c r="F2132" s="31" t="n">
        <v>2488</v>
      </c>
      <c r="G2132" s="37" t="n">
        <v>0.549469964664311</v>
      </c>
    </row>
    <row r="2133" customFormat="false" ht="15" hidden="false" customHeight="false" outlineLevel="0" collapsed="false">
      <c r="A2133" s="20" t="s">
        <v>2502</v>
      </c>
      <c r="B2133" s="20" t="s">
        <v>194</v>
      </c>
      <c r="C2133" s="9" t="s">
        <v>2160</v>
      </c>
      <c r="D2133" s="9" t="n">
        <v>5</v>
      </c>
      <c r="E2133" s="30" t="n">
        <v>4510</v>
      </c>
      <c r="F2133" s="30" t="n">
        <v>676</v>
      </c>
      <c r="G2133" s="35" t="n">
        <v>0.149889135254989</v>
      </c>
    </row>
    <row r="2134" customFormat="false" ht="15" hidden="false" customHeight="false" outlineLevel="0" collapsed="false">
      <c r="A2134" s="25" t="s">
        <v>2503</v>
      </c>
      <c r="B2134" s="29" t="s">
        <v>253</v>
      </c>
      <c r="C2134" s="29" t="s">
        <v>428</v>
      </c>
      <c r="D2134" s="29" t="n">
        <v>2</v>
      </c>
      <c r="E2134" s="31" t="n">
        <v>4502</v>
      </c>
      <c r="F2134" s="31" t="n">
        <v>2478</v>
      </c>
      <c r="G2134" s="37" t="n">
        <v>0.550422034651266</v>
      </c>
    </row>
    <row r="2135" customFormat="false" ht="15" hidden="false" customHeight="false" outlineLevel="0" collapsed="false">
      <c r="A2135" s="20" t="s">
        <v>2504</v>
      </c>
      <c r="B2135" s="20" t="s">
        <v>194</v>
      </c>
      <c r="C2135" s="9" t="s">
        <v>203</v>
      </c>
      <c r="D2135" s="9" t="n">
        <v>4</v>
      </c>
      <c r="E2135" s="30" t="n">
        <v>4500</v>
      </c>
      <c r="F2135" s="30" t="n">
        <v>674</v>
      </c>
      <c r="G2135" s="35" t="n">
        <v>0.149777777777778</v>
      </c>
    </row>
    <row r="2136" customFormat="false" ht="15" hidden="false" customHeight="false" outlineLevel="0" collapsed="false">
      <c r="A2136" s="25" t="s">
        <v>2505</v>
      </c>
      <c r="B2136" s="25" t="s">
        <v>194</v>
      </c>
      <c r="C2136" s="29" t="s">
        <v>334</v>
      </c>
      <c r="D2136" s="29" t="n">
        <v>20</v>
      </c>
      <c r="E2136" s="31" t="n">
        <v>4500</v>
      </c>
      <c r="F2136" s="31" t="n">
        <v>1000</v>
      </c>
      <c r="G2136" s="37" t="n">
        <v>0.222222222222222</v>
      </c>
    </row>
    <row r="2137" customFormat="false" ht="15" hidden="false" customHeight="false" outlineLevel="0" collapsed="false">
      <c r="A2137" s="20" t="s">
        <v>2506</v>
      </c>
      <c r="B2137" s="9" t="s">
        <v>216</v>
      </c>
      <c r="C2137" s="9" t="s">
        <v>428</v>
      </c>
      <c r="D2137" s="9" t="n">
        <v>4</v>
      </c>
      <c r="E2137" s="30" t="n">
        <v>4484</v>
      </c>
      <c r="F2137" s="30" t="n">
        <v>1568</v>
      </c>
      <c r="G2137" s="35" t="n">
        <v>0.349687778768956</v>
      </c>
    </row>
    <row r="2138" customFormat="false" ht="15" hidden="false" customHeight="false" outlineLevel="0" collapsed="false">
      <c r="A2138" s="25" t="s">
        <v>2507</v>
      </c>
      <c r="B2138" s="25" t="s">
        <v>200</v>
      </c>
      <c r="C2138" s="29" t="s">
        <v>223</v>
      </c>
      <c r="D2138" s="29" t="n">
        <v>1</v>
      </c>
      <c r="E2138" s="31" t="n">
        <v>4465</v>
      </c>
      <c r="F2138" s="31" t="n">
        <v>2042</v>
      </c>
      <c r="G2138" s="37" t="n">
        <v>0.457334826427772</v>
      </c>
    </row>
    <row r="2139" customFormat="false" ht="15" hidden="false" customHeight="false" outlineLevel="0" collapsed="false">
      <c r="A2139" s="20" t="s">
        <v>2508</v>
      </c>
      <c r="B2139" s="20" t="s">
        <v>194</v>
      </c>
      <c r="C2139" s="9" t="s">
        <v>231</v>
      </c>
      <c r="D2139" s="9" t="n">
        <v>4</v>
      </c>
      <c r="E2139" s="30" t="n">
        <v>4456</v>
      </c>
      <c r="F2139" s="30" t="n">
        <v>668</v>
      </c>
      <c r="G2139" s="35" t="n">
        <v>0.149910233393178</v>
      </c>
    </row>
    <row r="2140" customFormat="false" ht="15" hidden="false" customHeight="false" outlineLevel="0" collapsed="false">
      <c r="A2140" s="25" t="s">
        <v>2509</v>
      </c>
      <c r="B2140" s="25" t="s">
        <v>200</v>
      </c>
      <c r="C2140" s="29" t="s">
        <v>439</v>
      </c>
      <c r="D2140" s="29" t="n">
        <v>1</v>
      </c>
      <c r="E2140" s="31" t="n">
        <v>4448</v>
      </c>
      <c r="F2140" s="31" t="n">
        <v>667</v>
      </c>
      <c r="G2140" s="37" t="n">
        <v>0.149955035971223</v>
      </c>
    </row>
    <row r="2141" customFormat="false" ht="15" hidden="false" customHeight="false" outlineLevel="0" collapsed="false">
      <c r="A2141" s="20" t="s">
        <v>2510</v>
      </c>
      <c r="B2141" s="20" t="s">
        <v>194</v>
      </c>
      <c r="C2141" s="9" t="s">
        <v>334</v>
      </c>
      <c r="D2141" s="9" t="n">
        <v>4</v>
      </c>
      <c r="E2141" s="30" t="n">
        <v>4444</v>
      </c>
      <c r="F2141" s="30" t="n">
        <v>667</v>
      </c>
      <c r="G2141" s="35" t="n">
        <v>0.1500900090009</v>
      </c>
    </row>
    <row r="2142" customFormat="false" ht="15" hidden="false" customHeight="false" outlineLevel="0" collapsed="false">
      <c r="A2142" s="25" t="s">
        <v>2511</v>
      </c>
      <c r="B2142" s="29" t="s">
        <v>253</v>
      </c>
      <c r="C2142" s="29" t="s">
        <v>428</v>
      </c>
      <c r="D2142" s="29" t="n">
        <v>2</v>
      </c>
      <c r="E2142" s="31" t="n">
        <v>4440</v>
      </c>
      <c r="F2142" s="31" t="n">
        <v>2424</v>
      </c>
      <c r="G2142" s="37" t="n">
        <v>0.545945945945946</v>
      </c>
    </row>
    <row r="2143" customFormat="false" ht="15" hidden="false" customHeight="false" outlineLevel="0" collapsed="false">
      <c r="A2143" s="20" t="s">
        <v>2512</v>
      </c>
      <c r="B2143" s="20" t="s">
        <v>194</v>
      </c>
      <c r="C2143" s="9" t="s">
        <v>880</v>
      </c>
      <c r="D2143" s="9" t="n">
        <v>2</v>
      </c>
      <c r="E2143" s="30" t="n">
        <v>4432</v>
      </c>
      <c r="F2143" s="30" t="n">
        <v>665</v>
      </c>
      <c r="G2143" s="35" t="n">
        <v>0.150045126353791</v>
      </c>
    </row>
    <row r="2144" customFormat="false" ht="15" hidden="false" customHeight="false" outlineLevel="0" collapsed="false">
      <c r="A2144" s="25" t="s">
        <v>2513</v>
      </c>
      <c r="B2144" s="29" t="s">
        <v>253</v>
      </c>
      <c r="C2144" s="29" t="s">
        <v>428</v>
      </c>
      <c r="D2144" s="29" t="n">
        <v>5</v>
      </c>
      <c r="E2144" s="31" t="n">
        <v>4430</v>
      </c>
      <c r="F2144" s="31" t="n">
        <v>2710</v>
      </c>
      <c r="G2144" s="37" t="n">
        <v>0.611738148984199</v>
      </c>
    </row>
    <row r="2145" customFormat="false" ht="15" hidden="false" customHeight="false" outlineLevel="0" collapsed="false">
      <c r="A2145" s="20" t="s">
        <v>2514</v>
      </c>
      <c r="B2145" s="9" t="s">
        <v>253</v>
      </c>
      <c r="C2145" s="9" t="s">
        <v>428</v>
      </c>
      <c r="D2145" s="9" t="n">
        <v>5</v>
      </c>
      <c r="E2145" s="30" t="n">
        <v>4415</v>
      </c>
      <c r="F2145" s="30" t="n">
        <v>990</v>
      </c>
      <c r="G2145" s="35" t="n">
        <v>0.224235560588901</v>
      </c>
    </row>
    <row r="2146" customFormat="false" ht="15" hidden="false" customHeight="false" outlineLevel="0" collapsed="false">
      <c r="A2146" s="25" t="s">
        <v>2515</v>
      </c>
      <c r="B2146" s="25" t="s">
        <v>194</v>
      </c>
      <c r="C2146" s="29" t="s">
        <v>223</v>
      </c>
      <c r="D2146" s="29" t="n">
        <v>5</v>
      </c>
      <c r="E2146" s="31" t="n">
        <v>4410</v>
      </c>
      <c r="F2146" s="31" t="n">
        <v>660</v>
      </c>
      <c r="G2146" s="37" t="n">
        <v>0.149659863945578</v>
      </c>
    </row>
    <row r="2147" customFormat="false" ht="15" hidden="false" customHeight="false" outlineLevel="0" collapsed="false">
      <c r="A2147" s="20" t="s">
        <v>2516</v>
      </c>
      <c r="B2147" s="20" t="s">
        <v>194</v>
      </c>
      <c r="C2147" s="9" t="s">
        <v>203</v>
      </c>
      <c r="D2147" s="9" t="n">
        <v>9</v>
      </c>
      <c r="E2147" s="30" t="n">
        <v>4401</v>
      </c>
      <c r="F2147" s="30" t="n">
        <v>690</v>
      </c>
      <c r="G2147" s="35" t="n">
        <v>0.156782549420586</v>
      </c>
    </row>
    <row r="2148" customFormat="false" ht="15" hidden="false" customHeight="false" outlineLevel="0" collapsed="false">
      <c r="A2148" s="25" t="s">
        <v>2517</v>
      </c>
      <c r="B2148" s="25" t="s">
        <v>891</v>
      </c>
      <c r="C2148" s="29" t="s">
        <v>229</v>
      </c>
      <c r="D2148" s="29" t="n">
        <v>1</v>
      </c>
      <c r="E2148" s="31" t="n">
        <v>4388</v>
      </c>
      <c r="F2148" s="31" t="n">
        <v>658</v>
      </c>
      <c r="G2148" s="37" t="n">
        <v>0.149954421148587</v>
      </c>
    </row>
    <row r="2149" customFormat="false" ht="15" hidden="false" customHeight="false" outlineLevel="0" collapsed="false">
      <c r="A2149" s="20" t="s">
        <v>2518</v>
      </c>
      <c r="B2149" s="9" t="s">
        <v>253</v>
      </c>
      <c r="C2149" s="9" t="s">
        <v>428</v>
      </c>
      <c r="D2149" s="9" t="n">
        <v>5</v>
      </c>
      <c r="E2149" s="30" t="n">
        <v>4385</v>
      </c>
      <c r="F2149" s="30" t="n">
        <v>1915</v>
      </c>
      <c r="G2149" s="35" t="n">
        <v>0.436716077537058</v>
      </c>
    </row>
    <row r="2150" customFormat="false" ht="15" hidden="false" customHeight="false" outlineLevel="0" collapsed="false">
      <c r="A2150" s="25" t="s">
        <v>2519</v>
      </c>
      <c r="B2150" s="25" t="s">
        <v>200</v>
      </c>
      <c r="C2150" s="29" t="s">
        <v>223</v>
      </c>
      <c r="D2150" s="29" t="n">
        <v>1</v>
      </c>
      <c r="E2150" s="31" t="n">
        <v>4381</v>
      </c>
      <c r="F2150" s="31" t="n">
        <v>657</v>
      </c>
      <c r="G2150" s="37" t="n">
        <v>0.149965761241726</v>
      </c>
    </row>
    <row r="2151" customFormat="false" ht="15" hidden="false" customHeight="false" outlineLevel="0" collapsed="false">
      <c r="A2151" s="20" t="s">
        <v>2520</v>
      </c>
      <c r="B2151" s="20" t="s">
        <v>2521</v>
      </c>
      <c r="C2151" s="9" t="s">
        <v>768</v>
      </c>
      <c r="D2151" s="9" t="n">
        <v>5</v>
      </c>
      <c r="E2151" s="30" t="n">
        <v>4340</v>
      </c>
      <c r="F2151" s="30" t="n">
        <v>330</v>
      </c>
      <c r="G2151" s="35" t="n">
        <v>0.076036866359447</v>
      </c>
    </row>
    <row r="2152" customFormat="false" ht="15" hidden="false" customHeight="false" outlineLevel="0" collapsed="false">
      <c r="A2152" s="25" t="s">
        <v>2522</v>
      </c>
      <c r="B2152" s="25" t="s">
        <v>220</v>
      </c>
      <c r="C2152" s="29" t="s">
        <v>217</v>
      </c>
      <c r="D2152" s="29" t="n">
        <v>4</v>
      </c>
      <c r="E2152" s="31" t="n">
        <v>4336</v>
      </c>
      <c r="F2152" s="31" t="n">
        <v>1488</v>
      </c>
      <c r="G2152" s="37" t="n">
        <v>0.343173431734317</v>
      </c>
    </row>
    <row r="2153" customFormat="false" ht="15" hidden="false" customHeight="false" outlineLevel="0" collapsed="false">
      <c r="A2153" s="20" t="s">
        <v>2523</v>
      </c>
      <c r="B2153" s="9" t="s">
        <v>216</v>
      </c>
      <c r="C2153" s="9" t="s">
        <v>428</v>
      </c>
      <c r="D2153" s="9" t="n">
        <v>2</v>
      </c>
      <c r="E2153" s="30" t="n">
        <v>4326</v>
      </c>
      <c r="F2153" s="30" t="n">
        <v>2456</v>
      </c>
      <c r="G2153" s="35" t="n">
        <v>0.567730004623209</v>
      </c>
    </row>
    <row r="2154" customFormat="false" ht="15" hidden="false" customHeight="false" outlineLevel="0" collapsed="false">
      <c r="A2154" s="25" t="s">
        <v>2524</v>
      </c>
      <c r="B2154" s="25" t="s">
        <v>200</v>
      </c>
      <c r="C2154" s="29" t="s">
        <v>391</v>
      </c>
      <c r="D2154" s="29" t="n">
        <v>5</v>
      </c>
      <c r="E2154" s="31" t="n">
        <v>4325</v>
      </c>
      <c r="F2154" s="31" t="n">
        <v>2225</v>
      </c>
      <c r="G2154" s="37" t="n">
        <v>0.514450867052023</v>
      </c>
    </row>
    <row r="2155" customFormat="false" ht="15" hidden="false" customHeight="false" outlineLevel="0" collapsed="false">
      <c r="A2155" s="20" t="s">
        <v>2525</v>
      </c>
      <c r="B2155" s="20" t="s">
        <v>194</v>
      </c>
      <c r="C2155" s="9" t="s">
        <v>2160</v>
      </c>
      <c r="D2155" s="9" t="n">
        <v>5</v>
      </c>
      <c r="E2155" s="30" t="n">
        <v>4320</v>
      </c>
      <c r="F2155" s="30" t="n">
        <v>648</v>
      </c>
      <c r="G2155" s="35" t="n">
        <v>0.15</v>
      </c>
    </row>
    <row r="2156" customFormat="false" ht="15" hidden="false" customHeight="false" outlineLevel="0" collapsed="false">
      <c r="A2156" s="25" t="s">
        <v>2526</v>
      </c>
      <c r="B2156" s="25" t="s">
        <v>547</v>
      </c>
      <c r="C2156" s="29" t="s">
        <v>439</v>
      </c>
      <c r="D2156" s="29" t="n">
        <v>1</v>
      </c>
      <c r="E2156" s="31" t="n">
        <v>4313</v>
      </c>
      <c r="F2156" s="31" t="n">
        <v>2711</v>
      </c>
      <c r="G2156" s="37" t="n">
        <v>0.628564804080686</v>
      </c>
    </row>
    <row r="2157" customFormat="false" ht="15" hidden="false" customHeight="false" outlineLevel="0" collapsed="false">
      <c r="A2157" s="20" t="s">
        <v>2527</v>
      </c>
      <c r="B2157" s="20" t="s">
        <v>200</v>
      </c>
      <c r="C2157" s="9" t="s">
        <v>223</v>
      </c>
      <c r="D2157" s="9" t="n">
        <v>5</v>
      </c>
      <c r="E2157" s="30" t="n">
        <v>4305</v>
      </c>
      <c r="F2157" s="30" t="n">
        <v>645</v>
      </c>
      <c r="G2157" s="35" t="n">
        <v>0.149825783972125</v>
      </c>
    </row>
    <row r="2158" customFormat="false" ht="15" hidden="false" customHeight="false" outlineLevel="0" collapsed="false">
      <c r="A2158" s="25" t="s">
        <v>2528</v>
      </c>
      <c r="B2158" s="29" t="s">
        <v>216</v>
      </c>
      <c r="C2158" s="29" t="s">
        <v>428</v>
      </c>
      <c r="D2158" s="29" t="n">
        <v>4</v>
      </c>
      <c r="E2158" s="31" t="n">
        <v>4300</v>
      </c>
      <c r="F2158" s="31" t="n">
        <v>1960</v>
      </c>
      <c r="G2158" s="37" t="n">
        <v>0.455813953488372</v>
      </c>
    </row>
    <row r="2159" customFormat="false" ht="15" hidden="false" customHeight="false" outlineLevel="0" collapsed="false">
      <c r="A2159" s="20" t="s">
        <v>2529</v>
      </c>
      <c r="B2159" s="20" t="s">
        <v>200</v>
      </c>
      <c r="C2159" s="9" t="s">
        <v>880</v>
      </c>
      <c r="D2159" s="9" t="n">
        <v>1</v>
      </c>
      <c r="E2159" s="30" t="n">
        <v>4292</v>
      </c>
      <c r="F2159" s="30" t="n">
        <v>1144</v>
      </c>
      <c r="G2159" s="35" t="n">
        <v>0.266542404473439</v>
      </c>
    </row>
    <row r="2160" customFormat="false" ht="15" hidden="false" customHeight="false" outlineLevel="0" collapsed="false">
      <c r="A2160" s="25" t="s">
        <v>2530</v>
      </c>
      <c r="B2160" s="25" t="s">
        <v>194</v>
      </c>
      <c r="C2160" s="29" t="s">
        <v>768</v>
      </c>
      <c r="D2160" s="29" t="n">
        <v>1</v>
      </c>
      <c r="E2160" s="31" t="n">
        <v>4286</v>
      </c>
      <c r="F2160" s="31" t="n">
        <v>1284</v>
      </c>
      <c r="G2160" s="37" t="n">
        <v>0.299580027998133</v>
      </c>
    </row>
    <row r="2161" customFormat="false" ht="15" hidden="false" customHeight="false" outlineLevel="0" collapsed="false">
      <c r="A2161" s="20" t="s">
        <v>2531</v>
      </c>
      <c r="B2161" s="9" t="s">
        <v>253</v>
      </c>
      <c r="C2161" s="9" t="s">
        <v>428</v>
      </c>
      <c r="D2161" s="9" t="n">
        <v>3</v>
      </c>
      <c r="E2161" s="30" t="n">
        <v>4278</v>
      </c>
      <c r="F2161" s="30" t="n">
        <v>1965</v>
      </c>
      <c r="G2161" s="35" t="n">
        <v>0.459326788218794</v>
      </c>
    </row>
    <row r="2162" customFormat="false" ht="15" hidden="false" customHeight="false" outlineLevel="0" collapsed="false">
      <c r="A2162" s="25" t="s">
        <v>2532</v>
      </c>
      <c r="B2162" s="25" t="s">
        <v>200</v>
      </c>
      <c r="C2162" s="29" t="s">
        <v>223</v>
      </c>
      <c r="D2162" s="29" t="n">
        <v>1</v>
      </c>
      <c r="E2162" s="31" t="n">
        <v>4269</v>
      </c>
      <c r="F2162" s="31" t="n">
        <v>2271</v>
      </c>
      <c r="G2162" s="37" t="n">
        <v>0.531974701335207</v>
      </c>
    </row>
    <row r="2163" customFormat="false" ht="15" hidden="false" customHeight="false" outlineLevel="0" collapsed="false">
      <c r="A2163" s="20" t="s">
        <v>2533</v>
      </c>
      <c r="B2163" s="20" t="s">
        <v>194</v>
      </c>
      <c r="C2163" s="9" t="s">
        <v>231</v>
      </c>
      <c r="D2163" s="9" t="n">
        <v>3</v>
      </c>
      <c r="E2163" s="30" t="n">
        <v>4266</v>
      </c>
      <c r="F2163" s="30" t="n">
        <v>639</v>
      </c>
      <c r="G2163" s="35" t="n">
        <v>0.149789029535865</v>
      </c>
    </row>
    <row r="2164" customFormat="false" ht="15" hidden="false" customHeight="false" outlineLevel="0" collapsed="false">
      <c r="A2164" s="25" t="s">
        <v>2534</v>
      </c>
      <c r="B2164" s="25" t="s">
        <v>1834</v>
      </c>
      <c r="C2164" s="29" t="s">
        <v>880</v>
      </c>
      <c r="D2164" s="29" t="n">
        <v>1</v>
      </c>
      <c r="E2164" s="31" t="n">
        <v>4262</v>
      </c>
      <c r="F2164" s="31" t="n">
        <v>367</v>
      </c>
      <c r="G2164" s="37" t="n">
        <v>0.0861098076020647</v>
      </c>
    </row>
    <row r="2165" customFormat="false" ht="15" hidden="false" customHeight="false" outlineLevel="0" collapsed="false">
      <c r="A2165" s="20" t="s">
        <v>2535</v>
      </c>
      <c r="B2165" s="20" t="s">
        <v>194</v>
      </c>
      <c r="C2165" s="9" t="s">
        <v>428</v>
      </c>
      <c r="D2165" s="9" t="n">
        <v>1</v>
      </c>
      <c r="E2165" s="30" t="n">
        <v>4262</v>
      </c>
      <c r="F2165" s="30" t="n">
        <v>639</v>
      </c>
      <c r="G2165" s="35" t="n">
        <v>0.149929610511497</v>
      </c>
    </row>
    <row r="2166" customFormat="false" ht="15" hidden="false" customHeight="false" outlineLevel="0" collapsed="false">
      <c r="A2166" s="25" t="s">
        <v>2536</v>
      </c>
      <c r="B2166" s="25" t="s">
        <v>194</v>
      </c>
      <c r="C2166" s="29" t="s">
        <v>217</v>
      </c>
      <c r="D2166" s="29" t="n">
        <v>1</v>
      </c>
      <c r="E2166" s="31" t="n">
        <v>4260</v>
      </c>
      <c r="F2166" s="31" t="n">
        <v>2060</v>
      </c>
      <c r="G2166" s="37" t="n">
        <v>0.483568075117371</v>
      </c>
    </row>
    <row r="2167" customFormat="false" ht="15" hidden="false" customHeight="false" outlineLevel="0" collapsed="false">
      <c r="A2167" s="20" t="s">
        <v>2537</v>
      </c>
      <c r="B2167" s="20" t="s">
        <v>194</v>
      </c>
      <c r="C2167" s="9" t="s">
        <v>223</v>
      </c>
      <c r="D2167" s="9" t="n">
        <v>1</v>
      </c>
      <c r="E2167" s="30" t="n">
        <v>4253</v>
      </c>
      <c r="F2167" s="30" t="n">
        <v>53</v>
      </c>
      <c r="G2167" s="35" t="n">
        <v>0.0124617916764636</v>
      </c>
    </row>
    <row r="2168" customFormat="false" ht="15" hidden="false" customHeight="false" outlineLevel="0" collapsed="false">
      <c r="A2168" s="25" t="s">
        <v>2538</v>
      </c>
      <c r="B2168" s="25" t="s">
        <v>194</v>
      </c>
      <c r="C2168" s="29" t="s">
        <v>2160</v>
      </c>
      <c r="D2168" s="29" t="n">
        <v>5</v>
      </c>
      <c r="E2168" s="31" t="n">
        <v>4245</v>
      </c>
      <c r="F2168" s="31" t="n">
        <v>637</v>
      </c>
      <c r="G2168" s="37" t="n">
        <v>0.150058892815077</v>
      </c>
    </row>
    <row r="2169" customFormat="false" ht="15" hidden="false" customHeight="false" outlineLevel="0" collapsed="false">
      <c r="A2169" s="20" t="s">
        <v>2539</v>
      </c>
      <c r="B2169" s="20" t="s">
        <v>2540</v>
      </c>
      <c r="C2169" s="9" t="s">
        <v>203</v>
      </c>
      <c r="D2169" s="9" t="n">
        <v>50</v>
      </c>
      <c r="E2169" s="30" t="n">
        <v>4240</v>
      </c>
      <c r="F2169" s="30" t="n">
        <v>634</v>
      </c>
      <c r="G2169" s="35" t="n">
        <v>0.149528301886792</v>
      </c>
    </row>
    <row r="2170" customFormat="false" ht="15" hidden="false" customHeight="false" outlineLevel="0" collapsed="false">
      <c r="A2170" s="25" t="s">
        <v>2541</v>
      </c>
      <c r="B2170" s="25" t="s">
        <v>194</v>
      </c>
      <c r="C2170" s="29" t="s">
        <v>334</v>
      </c>
      <c r="D2170" s="29" t="n">
        <v>4</v>
      </c>
      <c r="E2170" s="31" t="n">
        <v>4232</v>
      </c>
      <c r="F2170" s="31" t="n">
        <v>844</v>
      </c>
      <c r="G2170" s="37" t="n">
        <v>0.199432892249527</v>
      </c>
    </row>
    <row r="2171" customFormat="false" ht="15" hidden="false" customHeight="false" outlineLevel="0" collapsed="false">
      <c r="A2171" s="20" t="s">
        <v>2542</v>
      </c>
      <c r="B2171" s="20" t="s">
        <v>194</v>
      </c>
      <c r="C2171" s="9" t="s">
        <v>768</v>
      </c>
      <c r="D2171" s="9" t="n">
        <v>5</v>
      </c>
      <c r="E2171" s="30" t="n">
        <v>4232</v>
      </c>
      <c r="F2171" s="30" t="n">
        <v>-648</v>
      </c>
      <c r="G2171" s="35" t="n">
        <v>-0.153119092627599</v>
      </c>
    </row>
    <row r="2172" customFormat="false" ht="15" hidden="false" customHeight="false" outlineLevel="0" collapsed="false">
      <c r="A2172" s="25" t="s">
        <v>2543</v>
      </c>
      <c r="B2172" s="29" t="s">
        <v>1262</v>
      </c>
      <c r="C2172" s="29" t="s">
        <v>428</v>
      </c>
      <c r="D2172" s="29" t="n">
        <v>6</v>
      </c>
      <c r="E2172" s="31" t="n">
        <v>4230</v>
      </c>
      <c r="F2172" s="31" t="n">
        <v>2250</v>
      </c>
      <c r="G2172" s="37" t="n">
        <v>0.531914893617021</v>
      </c>
    </row>
    <row r="2173" customFormat="false" ht="15" hidden="false" customHeight="false" outlineLevel="0" collapsed="false">
      <c r="A2173" s="20" t="s">
        <v>2544</v>
      </c>
      <c r="B2173" s="9" t="s">
        <v>253</v>
      </c>
      <c r="C2173" s="9" t="s">
        <v>229</v>
      </c>
      <c r="D2173" s="9" t="n">
        <v>15</v>
      </c>
      <c r="E2173" s="30" t="n">
        <v>4230</v>
      </c>
      <c r="F2173" s="30" t="n">
        <v>634</v>
      </c>
      <c r="G2173" s="35" t="n">
        <v>0.149881796690307</v>
      </c>
    </row>
    <row r="2174" customFormat="false" ht="15" hidden="false" customHeight="false" outlineLevel="0" collapsed="false">
      <c r="A2174" s="25" t="s">
        <v>2545</v>
      </c>
      <c r="B2174" s="25" t="s">
        <v>194</v>
      </c>
      <c r="C2174" s="29" t="s">
        <v>223</v>
      </c>
      <c r="D2174" s="29" t="n">
        <v>2</v>
      </c>
      <c r="E2174" s="31" t="n">
        <v>4218</v>
      </c>
      <c r="F2174" s="31" t="n">
        <v>633</v>
      </c>
      <c r="G2174" s="37" t="n">
        <v>0.150071123755334</v>
      </c>
    </row>
    <row r="2175" customFormat="false" ht="15" hidden="false" customHeight="false" outlineLevel="0" collapsed="false">
      <c r="A2175" s="20" t="s">
        <v>2546</v>
      </c>
      <c r="B2175" s="9" t="s">
        <v>2150</v>
      </c>
      <c r="C2175" s="9" t="s">
        <v>768</v>
      </c>
      <c r="D2175" s="9" t="n">
        <v>1</v>
      </c>
      <c r="E2175" s="30" t="n">
        <v>4208</v>
      </c>
      <c r="F2175" s="30" t="n">
        <v>631</v>
      </c>
      <c r="G2175" s="35" t="n">
        <v>0.14995247148289</v>
      </c>
    </row>
    <row r="2176" customFormat="false" ht="15" hidden="false" customHeight="false" outlineLevel="0" collapsed="false">
      <c r="A2176" s="25" t="s">
        <v>2547</v>
      </c>
      <c r="B2176" s="25" t="s">
        <v>200</v>
      </c>
      <c r="C2176" s="29" t="s">
        <v>428</v>
      </c>
      <c r="D2176" s="29" t="n">
        <v>40</v>
      </c>
      <c r="E2176" s="31" t="n">
        <v>4200</v>
      </c>
      <c r="F2176" s="31" t="n">
        <v>1520</v>
      </c>
      <c r="G2176" s="37" t="n">
        <v>0.361904761904762</v>
      </c>
    </row>
    <row r="2177" customFormat="false" ht="15" hidden="false" customHeight="false" outlineLevel="0" collapsed="false">
      <c r="A2177" s="20" t="s">
        <v>2548</v>
      </c>
      <c r="B2177" s="9" t="s">
        <v>253</v>
      </c>
      <c r="C2177" s="9" t="s">
        <v>254</v>
      </c>
      <c r="D2177" s="9" t="n">
        <v>10</v>
      </c>
      <c r="E2177" s="30" t="n">
        <v>4170</v>
      </c>
      <c r="F2177" s="30" t="n">
        <v>1230</v>
      </c>
      <c r="G2177" s="35" t="n">
        <v>0.294964028776978</v>
      </c>
    </row>
    <row r="2178" customFormat="false" ht="15" hidden="false" customHeight="false" outlineLevel="0" collapsed="false">
      <c r="A2178" s="25" t="s">
        <v>2549</v>
      </c>
      <c r="B2178" s="29" t="s">
        <v>253</v>
      </c>
      <c r="C2178" s="29" t="s">
        <v>254</v>
      </c>
      <c r="D2178" s="29" t="n">
        <v>10</v>
      </c>
      <c r="E2178" s="31" t="n">
        <v>4170</v>
      </c>
      <c r="F2178" s="31" t="n">
        <v>1230</v>
      </c>
      <c r="G2178" s="37" t="n">
        <v>0.294964028776978</v>
      </c>
    </row>
    <row r="2179" customFormat="false" ht="15" hidden="false" customHeight="false" outlineLevel="0" collapsed="false">
      <c r="A2179" s="20" t="s">
        <v>2550</v>
      </c>
      <c r="B2179" s="20" t="s">
        <v>194</v>
      </c>
      <c r="C2179" s="9" t="s">
        <v>203</v>
      </c>
      <c r="D2179" s="9" t="n">
        <v>1</v>
      </c>
      <c r="E2179" s="30" t="n">
        <v>4166</v>
      </c>
      <c r="F2179" s="30" t="n">
        <v>625</v>
      </c>
      <c r="G2179" s="35" t="n">
        <v>0.150024003840615</v>
      </c>
    </row>
    <row r="2180" customFormat="false" ht="15" hidden="false" customHeight="false" outlineLevel="0" collapsed="false">
      <c r="A2180" s="25" t="s">
        <v>2551</v>
      </c>
      <c r="B2180" s="25" t="s">
        <v>318</v>
      </c>
      <c r="C2180" s="29" t="s">
        <v>368</v>
      </c>
      <c r="D2180" s="29" t="n">
        <v>64</v>
      </c>
      <c r="E2180" s="31" t="n">
        <v>4160</v>
      </c>
      <c r="F2180" s="31" t="n">
        <v>3456</v>
      </c>
      <c r="G2180" s="37" t="n">
        <v>0.830769230769231</v>
      </c>
    </row>
    <row r="2181" customFormat="false" ht="15" hidden="false" customHeight="false" outlineLevel="0" collapsed="false">
      <c r="A2181" s="20" t="s">
        <v>2552</v>
      </c>
      <c r="B2181" s="20" t="s">
        <v>194</v>
      </c>
      <c r="C2181" s="9" t="s">
        <v>223</v>
      </c>
      <c r="D2181" s="9" t="n">
        <v>1</v>
      </c>
      <c r="E2181" s="30" t="n">
        <v>4153</v>
      </c>
      <c r="F2181" s="30" t="n">
        <v>1411</v>
      </c>
      <c r="G2181" s="35" t="n">
        <v>0.339754394413677</v>
      </c>
    </row>
    <row r="2182" customFormat="false" ht="15" hidden="false" customHeight="false" outlineLevel="0" collapsed="false">
      <c r="A2182" s="25" t="s">
        <v>2553</v>
      </c>
      <c r="B2182" s="25" t="s">
        <v>318</v>
      </c>
      <c r="C2182" s="29" t="s">
        <v>355</v>
      </c>
      <c r="D2182" s="29" t="n">
        <v>1</v>
      </c>
      <c r="E2182" s="31" t="n">
        <v>4148</v>
      </c>
      <c r="F2182" s="31" t="n">
        <v>622</v>
      </c>
      <c r="G2182" s="37" t="n">
        <v>0.149951783992285</v>
      </c>
    </row>
    <row r="2183" customFormat="false" ht="15" hidden="false" customHeight="false" outlineLevel="0" collapsed="false">
      <c r="A2183" s="20" t="s">
        <v>2554</v>
      </c>
      <c r="B2183" s="9" t="s">
        <v>1262</v>
      </c>
      <c r="C2183" s="9" t="s">
        <v>428</v>
      </c>
      <c r="D2183" s="9" t="n">
        <v>2</v>
      </c>
      <c r="E2183" s="30" t="n">
        <v>4140</v>
      </c>
      <c r="F2183" s="30" t="n">
        <v>828</v>
      </c>
      <c r="G2183" s="35" t="n">
        <v>0.2</v>
      </c>
    </row>
    <row r="2184" customFormat="false" ht="15" hidden="false" customHeight="false" outlineLevel="0" collapsed="false">
      <c r="A2184" s="25" t="s">
        <v>2555</v>
      </c>
      <c r="B2184" s="25" t="s">
        <v>220</v>
      </c>
      <c r="C2184" s="29" t="s">
        <v>217</v>
      </c>
      <c r="D2184" s="29" t="n">
        <v>3</v>
      </c>
      <c r="E2184" s="31" t="n">
        <v>4137</v>
      </c>
      <c r="F2184" s="31" t="n">
        <v>2436</v>
      </c>
      <c r="G2184" s="37" t="n">
        <v>0.588832487309645</v>
      </c>
    </row>
    <row r="2185" customFormat="false" ht="15" hidden="false" customHeight="false" outlineLevel="0" collapsed="false">
      <c r="A2185" s="20" t="s">
        <v>2556</v>
      </c>
      <c r="B2185" s="20" t="s">
        <v>194</v>
      </c>
      <c r="C2185" s="9" t="s">
        <v>195</v>
      </c>
      <c r="D2185" s="9" t="n">
        <v>2</v>
      </c>
      <c r="E2185" s="30" t="n">
        <v>4132</v>
      </c>
      <c r="F2185" s="30" t="n">
        <v>620</v>
      </c>
      <c r="G2185" s="35" t="n">
        <v>0.150048402710552</v>
      </c>
    </row>
    <row r="2186" customFormat="false" ht="15" hidden="false" customHeight="false" outlineLevel="0" collapsed="false">
      <c r="A2186" s="25" t="s">
        <v>2557</v>
      </c>
      <c r="B2186" s="25" t="s">
        <v>194</v>
      </c>
      <c r="C2186" s="29" t="s">
        <v>380</v>
      </c>
      <c r="D2186" s="29" t="n">
        <v>1</v>
      </c>
      <c r="E2186" s="31" t="n">
        <v>4130</v>
      </c>
      <c r="F2186" s="31" t="n">
        <v>724</v>
      </c>
      <c r="G2186" s="37" t="n">
        <v>0.175302663438257</v>
      </c>
    </row>
    <row r="2187" customFormat="false" ht="15" hidden="false" customHeight="false" outlineLevel="0" collapsed="false">
      <c r="A2187" s="20" t="s">
        <v>2558</v>
      </c>
      <c r="B2187" s="9" t="s">
        <v>216</v>
      </c>
      <c r="C2187" s="9" t="s">
        <v>428</v>
      </c>
      <c r="D2187" s="9" t="n">
        <v>3</v>
      </c>
      <c r="E2187" s="30" t="n">
        <v>4122</v>
      </c>
      <c r="F2187" s="30" t="n">
        <v>2187</v>
      </c>
      <c r="G2187" s="35" t="n">
        <v>0.53056768558952</v>
      </c>
    </row>
    <row r="2188" customFormat="false" ht="15" hidden="false" customHeight="false" outlineLevel="0" collapsed="false">
      <c r="A2188" s="25" t="s">
        <v>2559</v>
      </c>
      <c r="B2188" s="25" t="s">
        <v>194</v>
      </c>
      <c r="C2188" s="29" t="s">
        <v>203</v>
      </c>
      <c r="D2188" s="29" t="n">
        <v>1</v>
      </c>
      <c r="E2188" s="31" t="n">
        <v>4117</v>
      </c>
      <c r="F2188" s="31" t="n">
        <v>-705</v>
      </c>
      <c r="G2188" s="37" t="n">
        <v>-0.171241195044936</v>
      </c>
    </row>
    <row r="2189" customFormat="false" ht="15" hidden="false" customHeight="false" outlineLevel="0" collapsed="false">
      <c r="A2189" s="20" t="s">
        <v>2560</v>
      </c>
      <c r="B2189" s="20" t="s">
        <v>200</v>
      </c>
      <c r="C2189" s="9" t="s">
        <v>880</v>
      </c>
      <c r="D2189" s="9" t="n">
        <v>2</v>
      </c>
      <c r="E2189" s="30" t="n">
        <v>4112</v>
      </c>
      <c r="F2189" s="30" t="n">
        <v>726</v>
      </c>
      <c r="G2189" s="35" t="n">
        <v>0.176556420233463</v>
      </c>
    </row>
    <row r="2190" customFormat="false" ht="15" hidden="false" customHeight="false" outlineLevel="0" collapsed="false">
      <c r="A2190" s="25" t="s">
        <v>2561</v>
      </c>
      <c r="B2190" s="25" t="s">
        <v>194</v>
      </c>
      <c r="C2190" s="29" t="s">
        <v>197</v>
      </c>
      <c r="D2190" s="29" t="n">
        <v>1</v>
      </c>
      <c r="E2190" s="31" t="n">
        <v>4112</v>
      </c>
      <c r="F2190" s="31" t="n">
        <v>1419</v>
      </c>
      <c r="G2190" s="37" t="n">
        <v>0.345087548638132</v>
      </c>
    </row>
    <row r="2191" customFormat="false" ht="15" hidden="false" customHeight="false" outlineLevel="0" collapsed="false">
      <c r="A2191" s="20" t="s">
        <v>2562</v>
      </c>
      <c r="B2191" s="20" t="s">
        <v>200</v>
      </c>
      <c r="C2191" s="9" t="s">
        <v>428</v>
      </c>
      <c r="D2191" s="9" t="n">
        <v>2</v>
      </c>
      <c r="E2191" s="30" t="n">
        <v>4100</v>
      </c>
      <c r="F2191" s="30" t="n">
        <v>1100</v>
      </c>
      <c r="G2191" s="35" t="n">
        <v>0.268292682926829</v>
      </c>
    </row>
    <row r="2192" customFormat="false" ht="15" hidden="false" customHeight="false" outlineLevel="0" collapsed="false">
      <c r="A2192" s="25" t="s">
        <v>2563</v>
      </c>
      <c r="B2192" s="25" t="s">
        <v>200</v>
      </c>
      <c r="C2192" s="29" t="s">
        <v>428</v>
      </c>
      <c r="D2192" s="29" t="n">
        <v>1</v>
      </c>
      <c r="E2192" s="31" t="n">
        <v>4094</v>
      </c>
      <c r="F2192" s="31" t="n">
        <v>1433</v>
      </c>
      <c r="G2192" s="37" t="n">
        <v>0.350024425989253</v>
      </c>
    </row>
    <row r="2193" customFormat="false" ht="15" hidden="false" customHeight="false" outlineLevel="0" collapsed="false">
      <c r="A2193" s="20" t="s">
        <v>2564</v>
      </c>
      <c r="B2193" s="20" t="s">
        <v>194</v>
      </c>
      <c r="C2193" s="9" t="s">
        <v>880</v>
      </c>
      <c r="D2193" s="9" t="n">
        <v>1</v>
      </c>
      <c r="E2193" s="30" t="n">
        <v>4079</v>
      </c>
      <c r="F2193" s="30" t="n">
        <v>612</v>
      </c>
      <c r="G2193" s="35" t="n">
        <v>0.150036773719049</v>
      </c>
    </row>
    <row r="2194" customFormat="false" ht="15" hidden="false" customHeight="false" outlineLevel="0" collapsed="false">
      <c r="A2194" s="25" t="s">
        <v>2565</v>
      </c>
      <c r="B2194" s="25" t="s">
        <v>194</v>
      </c>
      <c r="C2194" s="29" t="s">
        <v>203</v>
      </c>
      <c r="D2194" s="29" t="n">
        <v>1</v>
      </c>
      <c r="E2194" s="31" t="n">
        <v>4064</v>
      </c>
      <c r="F2194" s="31" t="n">
        <v>914</v>
      </c>
      <c r="G2194" s="37" t="n">
        <v>0.22490157480315</v>
      </c>
    </row>
    <row r="2195" customFormat="false" ht="15" hidden="false" customHeight="false" outlineLevel="0" collapsed="false">
      <c r="A2195" s="20" t="s">
        <v>2566</v>
      </c>
      <c r="B2195" s="20" t="s">
        <v>200</v>
      </c>
      <c r="C2195" s="9" t="s">
        <v>880</v>
      </c>
      <c r="D2195" s="9" t="n">
        <v>1</v>
      </c>
      <c r="E2195" s="30" t="n">
        <v>4056</v>
      </c>
      <c r="F2195" s="30" t="n">
        <v>606</v>
      </c>
      <c r="G2195" s="35" t="n">
        <v>0.149408284023669</v>
      </c>
    </row>
    <row r="2196" customFormat="false" ht="15" hidden="false" customHeight="false" outlineLevel="0" collapsed="false">
      <c r="A2196" s="25" t="s">
        <v>2567</v>
      </c>
      <c r="B2196" s="25" t="s">
        <v>194</v>
      </c>
      <c r="C2196" s="29" t="s">
        <v>203</v>
      </c>
      <c r="D2196" s="29" t="n">
        <v>1</v>
      </c>
      <c r="E2196" s="31" t="n">
        <v>4049</v>
      </c>
      <c r="F2196" s="31" t="n">
        <v>871</v>
      </c>
      <c r="G2196" s="37" t="n">
        <v>0.215114843171153</v>
      </c>
    </row>
    <row r="2197" customFormat="false" ht="15" hidden="false" customHeight="false" outlineLevel="0" collapsed="false">
      <c r="A2197" s="20" t="s">
        <v>2568</v>
      </c>
      <c r="B2197" s="20" t="s">
        <v>2476</v>
      </c>
      <c r="C2197" s="9" t="s">
        <v>316</v>
      </c>
      <c r="D2197" s="9" t="n">
        <v>43</v>
      </c>
      <c r="E2197" s="30" t="n">
        <v>4042</v>
      </c>
      <c r="F2197" s="30" t="n">
        <v>606</v>
      </c>
      <c r="G2197" s="35" t="n">
        <v>0.14992577931717</v>
      </c>
    </row>
    <row r="2198" customFormat="false" ht="15" hidden="false" customHeight="false" outlineLevel="0" collapsed="false">
      <c r="A2198" s="25" t="s">
        <v>2569</v>
      </c>
      <c r="B2198" s="25" t="s">
        <v>194</v>
      </c>
      <c r="C2198" s="29" t="s">
        <v>195</v>
      </c>
      <c r="D2198" s="29" t="n">
        <v>20</v>
      </c>
      <c r="E2198" s="31" t="n">
        <v>4040</v>
      </c>
      <c r="F2198" s="31" t="n">
        <v>606</v>
      </c>
      <c r="G2198" s="37" t="n">
        <v>0.15</v>
      </c>
    </row>
    <row r="2199" customFormat="false" ht="15" hidden="false" customHeight="false" outlineLevel="0" collapsed="false">
      <c r="A2199" s="20" t="s">
        <v>2570</v>
      </c>
      <c r="B2199" s="20" t="s">
        <v>194</v>
      </c>
      <c r="C2199" s="9" t="s">
        <v>195</v>
      </c>
      <c r="D2199" s="9" t="n">
        <v>1</v>
      </c>
      <c r="E2199" s="30" t="n">
        <v>4027</v>
      </c>
      <c r="F2199" s="30" t="n">
        <v>604</v>
      </c>
      <c r="G2199" s="35" t="n">
        <v>0.149987583809287</v>
      </c>
    </row>
    <row r="2200" customFormat="false" ht="15" hidden="false" customHeight="false" outlineLevel="0" collapsed="false">
      <c r="A2200" s="25" t="s">
        <v>2571</v>
      </c>
      <c r="B2200" s="25" t="s">
        <v>200</v>
      </c>
      <c r="C2200" s="29" t="s">
        <v>223</v>
      </c>
      <c r="D2200" s="29" t="n">
        <v>1</v>
      </c>
      <c r="E2200" s="31" t="n">
        <v>4025</v>
      </c>
      <c r="F2200" s="31" t="n">
        <v>824</v>
      </c>
      <c r="G2200" s="37" t="n">
        <v>0.20472049689441</v>
      </c>
    </row>
    <row r="2201" customFormat="false" ht="15" hidden="false" customHeight="false" outlineLevel="0" collapsed="false">
      <c r="A2201" s="20" t="s">
        <v>2572</v>
      </c>
      <c r="B2201" s="20" t="s">
        <v>200</v>
      </c>
      <c r="C2201" s="9" t="s">
        <v>297</v>
      </c>
      <c r="D2201" s="9" t="n">
        <v>1</v>
      </c>
      <c r="E2201" s="30" t="n">
        <v>4012</v>
      </c>
      <c r="F2201" s="30" t="n">
        <v>602</v>
      </c>
      <c r="G2201" s="35" t="n">
        <v>0.150049850448654</v>
      </c>
    </row>
    <row r="2202" customFormat="false" ht="15" hidden="false" customHeight="false" outlineLevel="0" collapsed="false">
      <c r="A2202" s="25" t="s">
        <v>2573</v>
      </c>
      <c r="B2202" s="25" t="s">
        <v>220</v>
      </c>
      <c r="C2202" s="29" t="s">
        <v>217</v>
      </c>
      <c r="D2202" s="29" t="n">
        <v>4</v>
      </c>
      <c r="E2202" s="31" t="n">
        <v>4000</v>
      </c>
      <c r="F2202" s="31" t="n">
        <v>1864</v>
      </c>
      <c r="G2202" s="37" t="n">
        <v>0.466</v>
      </c>
    </row>
    <row r="2203" customFormat="false" ht="15" hidden="false" customHeight="false" outlineLevel="0" collapsed="false">
      <c r="A2203" s="20" t="s">
        <v>2574</v>
      </c>
      <c r="B2203" s="20" t="s">
        <v>194</v>
      </c>
      <c r="C2203" s="9" t="s">
        <v>203</v>
      </c>
      <c r="D2203" s="9" t="n">
        <v>10</v>
      </c>
      <c r="E2203" s="30" t="n">
        <v>3990</v>
      </c>
      <c r="F2203" s="30" t="n">
        <v>1220</v>
      </c>
      <c r="G2203" s="35" t="n">
        <v>0.305764411027569</v>
      </c>
    </row>
    <row r="2204" customFormat="false" ht="15" hidden="false" customHeight="false" outlineLevel="0" collapsed="false">
      <c r="A2204" s="25" t="s">
        <v>2575</v>
      </c>
      <c r="B2204" s="29" t="s">
        <v>1262</v>
      </c>
      <c r="C2204" s="29" t="s">
        <v>428</v>
      </c>
      <c r="D2204" s="29" t="n">
        <v>3</v>
      </c>
      <c r="E2204" s="31" t="n">
        <v>3984</v>
      </c>
      <c r="F2204" s="31" t="n">
        <v>2334</v>
      </c>
      <c r="G2204" s="37" t="n">
        <v>0.585843373493976</v>
      </c>
    </row>
    <row r="2205" customFormat="false" ht="15" hidden="false" customHeight="false" outlineLevel="0" collapsed="false">
      <c r="A2205" s="20" t="s">
        <v>2576</v>
      </c>
      <c r="B2205" s="20" t="s">
        <v>194</v>
      </c>
      <c r="C2205" s="9" t="s">
        <v>430</v>
      </c>
      <c r="D2205" s="9" t="n">
        <v>1</v>
      </c>
      <c r="E2205" s="30" t="n">
        <v>3974</v>
      </c>
      <c r="F2205" s="30" t="n">
        <v>694</v>
      </c>
      <c r="G2205" s="35" t="n">
        <v>0.174635128334172</v>
      </c>
    </row>
    <row r="2206" customFormat="false" ht="15" hidden="false" customHeight="false" outlineLevel="0" collapsed="false">
      <c r="A2206" s="25" t="s">
        <v>2577</v>
      </c>
      <c r="B2206" s="29" t="s">
        <v>253</v>
      </c>
      <c r="C2206" s="29" t="s">
        <v>428</v>
      </c>
      <c r="D2206" s="29" t="n">
        <v>2</v>
      </c>
      <c r="E2206" s="31" t="n">
        <v>3974</v>
      </c>
      <c r="F2206" s="31" t="n">
        <v>2796</v>
      </c>
      <c r="G2206" s="37" t="n">
        <v>0.703573225968797</v>
      </c>
    </row>
    <row r="2207" customFormat="false" ht="15" hidden="false" customHeight="false" outlineLevel="0" collapsed="false">
      <c r="A2207" s="20" t="s">
        <v>2578</v>
      </c>
      <c r="B2207" s="20" t="s">
        <v>194</v>
      </c>
      <c r="C2207" s="9" t="s">
        <v>203</v>
      </c>
      <c r="D2207" s="9" t="n">
        <v>1</v>
      </c>
      <c r="E2207" s="30" t="n">
        <v>3971</v>
      </c>
      <c r="F2207" s="30" t="n">
        <v>841</v>
      </c>
      <c r="G2207" s="35" t="n">
        <v>0.211785444472425</v>
      </c>
    </row>
    <row r="2208" customFormat="false" ht="15" hidden="false" customHeight="false" outlineLevel="0" collapsed="false">
      <c r="A2208" s="25" t="s">
        <v>2579</v>
      </c>
      <c r="B2208" s="25" t="s">
        <v>194</v>
      </c>
      <c r="C2208" s="29" t="s">
        <v>223</v>
      </c>
      <c r="D2208" s="29" t="n">
        <v>1</v>
      </c>
      <c r="E2208" s="31" t="n">
        <v>3951</v>
      </c>
      <c r="F2208" s="31" t="n">
        <v>593</v>
      </c>
      <c r="G2208" s="37" t="n">
        <v>0.150088585168312</v>
      </c>
    </row>
    <row r="2209" customFormat="false" ht="15" hidden="false" customHeight="false" outlineLevel="0" collapsed="false">
      <c r="A2209" s="20" t="s">
        <v>2580</v>
      </c>
      <c r="B2209" s="20" t="s">
        <v>194</v>
      </c>
      <c r="C2209" s="9" t="s">
        <v>485</v>
      </c>
      <c r="D2209" s="9" t="n">
        <v>1</v>
      </c>
      <c r="E2209" s="30" t="n">
        <v>3934</v>
      </c>
      <c r="F2209" s="30" t="n">
        <v>1820</v>
      </c>
      <c r="G2209" s="35" t="n">
        <v>0.462633451957295</v>
      </c>
    </row>
    <row r="2210" customFormat="false" ht="15" hidden="false" customHeight="false" outlineLevel="0" collapsed="false">
      <c r="A2210" s="25" t="s">
        <v>2581</v>
      </c>
      <c r="B2210" s="25" t="s">
        <v>194</v>
      </c>
      <c r="C2210" s="29" t="s">
        <v>768</v>
      </c>
      <c r="D2210" s="29" t="n">
        <v>1</v>
      </c>
      <c r="E2210" s="31" t="n">
        <v>3919</v>
      </c>
      <c r="F2210" s="31" t="n">
        <v>588</v>
      </c>
      <c r="G2210" s="37" t="n">
        <v>0.150038275070171</v>
      </c>
    </row>
    <row r="2211" customFormat="false" ht="15" hidden="false" customHeight="false" outlineLevel="0" collapsed="false">
      <c r="A2211" s="20" t="s">
        <v>2582</v>
      </c>
      <c r="B2211" s="20" t="s">
        <v>988</v>
      </c>
      <c r="C2211" s="9" t="s">
        <v>297</v>
      </c>
      <c r="D2211" s="9" t="n">
        <v>3</v>
      </c>
      <c r="E2211" s="30" t="n">
        <v>3915</v>
      </c>
      <c r="F2211" s="30" t="n">
        <v>588</v>
      </c>
      <c r="G2211" s="35" t="n">
        <v>0.150191570881226</v>
      </c>
    </row>
    <row r="2212" customFormat="false" ht="15" hidden="false" customHeight="false" outlineLevel="0" collapsed="false">
      <c r="A2212" s="25" t="s">
        <v>2583</v>
      </c>
      <c r="B2212" s="25" t="s">
        <v>194</v>
      </c>
      <c r="C2212" s="29" t="s">
        <v>203</v>
      </c>
      <c r="D2212" s="29" t="n">
        <v>1</v>
      </c>
      <c r="E2212" s="31" t="n">
        <v>3910</v>
      </c>
      <c r="F2212" s="31" t="n">
        <v>2910</v>
      </c>
      <c r="G2212" s="37" t="n">
        <v>0.744245524296675</v>
      </c>
    </row>
    <row r="2213" customFormat="false" ht="15" hidden="false" customHeight="false" outlineLevel="0" collapsed="false">
      <c r="A2213" s="20" t="s">
        <v>2584</v>
      </c>
      <c r="B2213" s="20" t="s">
        <v>194</v>
      </c>
      <c r="C2213" s="9" t="s">
        <v>768</v>
      </c>
      <c r="D2213" s="9" t="n">
        <v>1</v>
      </c>
      <c r="E2213" s="30" t="n">
        <v>3909</v>
      </c>
      <c r="F2213" s="30" t="n">
        <v>586</v>
      </c>
      <c r="G2213" s="35" t="n">
        <v>0.149910463034024</v>
      </c>
    </row>
    <row r="2214" customFormat="false" ht="15" hidden="false" customHeight="false" outlineLevel="0" collapsed="false">
      <c r="A2214" s="25" t="s">
        <v>2585</v>
      </c>
      <c r="B2214" s="29" t="s">
        <v>253</v>
      </c>
      <c r="C2214" s="29" t="s">
        <v>223</v>
      </c>
      <c r="D2214" s="29" t="n">
        <v>3</v>
      </c>
      <c r="E2214" s="31" t="n">
        <v>3906</v>
      </c>
      <c r="F2214" s="31" t="n">
        <v>586</v>
      </c>
      <c r="G2214" s="37" t="n">
        <v>0.150025601638505</v>
      </c>
    </row>
    <row r="2215" customFormat="false" ht="15" hidden="false" customHeight="false" outlineLevel="0" collapsed="false">
      <c r="A2215" s="20" t="s">
        <v>2586</v>
      </c>
      <c r="B2215" s="20" t="s">
        <v>200</v>
      </c>
      <c r="C2215" s="9" t="s">
        <v>201</v>
      </c>
      <c r="D2215" s="9" t="n">
        <v>2</v>
      </c>
      <c r="E2215" s="30" t="n">
        <v>3898</v>
      </c>
      <c r="F2215" s="30" t="n">
        <v>585</v>
      </c>
      <c r="G2215" s="35" t="n">
        <v>0.150076962544895</v>
      </c>
    </row>
    <row r="2216" customFormat="false" ht="15" hidden="false" customHeight="false" outlineLevel="0" collapsed="false">
      <c r="A2216" s="25" t="s">
        <v>2587</v>
      </c>
      <c r="B2216" s="29" t="s">
        <v>216</v>
      </c>
      <c r="C2216" s="29" t="s">
        <v>428</v>
      </c>
      <c r="D2216" s="29" t="n">
        <v>1</v>
      </c>
      <c r="E2216" s="31" t="n">
        <v>3893</v>
      </c>
      <c r="F2216" s="31" t="n">
        <v>2450</v>
      </c>
      <c r="G2216" s="37" t="n">
        <v>0.62933470331364</v>
      </c>
    </row>
    <row r="2217" customFormat="false" ht="15" hidden="false" customHeight="false" outlineLevel="0" collapsed="false">
      <c r="A2217" s="20" t="s">
        <v>2588</v>
      </c>
      <c r="B2217" s="20" t="s">
        <v>194</v>
      </c>
      <c r="C2217" s="9" t="s">
        <v>880</v>
      </c>
      <c r="D2217" s="9" t="n">
        <v>1</v>
      </c>
      <c r="E2217" s="30" t="n">
        <v>3892</v>
      </c>
      <c r="F2217" s="30" t="n">
        <v>-208</v>
      </c>
      <c r="G2217" s="35" t="n">
        <v>-0.05344295991778</v>
      </c>
    </row>
    <row r="2218" customFormat="false" ht="15" hidden="false" customHeight="false" outlineLevel="0" collapsed="false">
      <c r="A2218" s="25" t="s">
        <v>2589</v>
      </c>
      <c r="B2218" s="25" t="s">
        <v>194</v>
      </c>
      <c r="C2218" s="29" t="s">
        <v>880</v>
      </c>
      <c r="D2218" s="29" t="n">
        <v>1</v>
      </c>
      <c r="E2218" s="31" t="n">
        <v>3888</v>
      </c>
      <c r="F2218" s="31" t="n">
        <v>583</v>
      </c>
      <c r="G2218" s="37" t="n">
        <v>0.149948559670782</v>
      </c>
    </row>
    <row r="2219" customFormat="false" ht="15" hidden="false" customHeight="false" outlineLevel="0" collapsed="false">
      <c r="A2219" s="20" t="s">
        <v>2590</v>
      </c>
      <c r="B2219" s="20" t="s">
        <v>194</v>
      </c>
      <c r="C2219" s="9" t="s">
        <v>1390</v>
      </c>
      <c r="D2219" s="9" t="n">
        <v>3</v>
      </c>
      <c r="E2219" s="30" t="n">
        <v>3885</v>
      </c>
      <c r="F2219" s="30" t="n">
        <v>1482</v>
      </c>
      <c r="G2219" s="35" t="n">
        <v>0.381467181467181</v>
      </c>
    </row>
    <row r="2220" customFormat="false" ht="15" hidden="false" customHeight="false" outlineLevel="0" collapsed="false">
      <c r="A2220" s="25" t="s">
        <v>2591</v>
      </c>
      <c r="B2220" s="25" t="s">
        <v>194</v>
      </c>
      <c r="C2220" s="29" t="s">
        <v>231</v>
      </c>
      <c r="D2220" s="29" t="n">
        <v>1</v>
      </c>
      <c r="E2220" s="31" t="n">
        <v>3883</v>
      </c>
      <c r="F2220" s="31" t="n">
        <v>2983</v>
      </c>
      <c r="G2220" s="37" t="n">
        <v>0.768220448107134</v>
      </c>
    </row>
    <row r="2221" customFormat="false" ht="15" hidden="false" customHeight="false" outlineLevel="0" collapsed="false">
      <c r="A2221" s="20" t="s">
        <v>2592</v>
      </c>
      <c r="B2221" s="9" t="s">
        <v>253</v>
      </c>
      <c r="C2221" s="9" t="s">
        <v>439</v>
      </c>
      <c r="D2221" s="9" t="n">
        <v>1</v>
      </c>
      <c r="E2221" s="30" t="n">
        <v>3881</v>
      </c>
      <c r="F2221" s="30" t="n">
        <v>582</v>
      </c>
      <c r="G2221" s="35" t="n">
        <v>0.149961350167483</v>
      </c>
    </row>
    <row r="2222" customFormat="false" ht="15" hidden="false" customHeight="false" outlineLevel="0" collapsed="false">
      <c r="A2222" s="25" t="s">
        <v>2593</v>
      </c>
      <c r="B2222" s="29" t="s">
        <v>1262</v>
      </c>
      <c r="C2222" s="29" t="s">
        <v>428</v>
      </c>
      <c r="D2222" s="29" t="n">
        <v>1</v>
      </c>
      <c r="E2222" s="31" t="n">
        <v>3880</v>
      </c>
      <c r="F2222" s="31" t="n">
        <v>501</v>
      </c>
      <c r="G2222" s="37" t="n">
        <v>0.129123711340206</v>
      </c>
    </row>
    <row r="2223" customFormat="false" ht="15" hidden="false" customHeight="false" outlineLevel="0" collapsed="false">
      <c r="A2223" s="20" t="s">
        <v>2594</v>
      </c>
      <c r="B2223" s="9" t="s">
        <v>253</v>
      </c>
      <c r="C2223" s="9" t="s">
        <v>428</v>
      </c>
      <c r="D2223" s="9" t="n">
        <v>2</v>
      </c>
      <c r="E2223" s="30" t="n">
        <v>3844</v>
      </c>
      <c r="F2223" s="30" t="n">
        <v>2422</v>
      </c>
      <c r="G2223" s="35" t="n">
        <v>0.630072840790843</v>
      </c>
    </row>
    <row r="2224" customFormat="false" ht="15" hidden="false" customHeight="false" outlineLevel="0" collapsed="false">
      <c r="A2224" s="25" t="s">
        <v>2595</v>
      </c>
      <c r="B2224" s="25" t="s">
        <v>194</v>
      </c>
      <c r="C2224" s="29" t="s">
        <v>203</v>
      </c>
      <c r="D2224" s="29" t="n">
        <v>1</v>
      </c>
      <c r="E2224" s="31" t="n">
        <v>3837</v>
      </c>
      <c r="F2224" s="31" t="n">
        <v>1579</v>
      </c>
      <c r="G2224" s="37" t="n">
        <v>0.411519416210581</v>
      </c>
    </row>
    <row r="2225" customFormat="false" ht="15" hidden="false" customHeight="false" outlineLevel="0" collapsed="false">
      <c r="A2225" s="20" t="s">
        <v>2596</v>
      </c>
      <c r="B2225" s="20" t="s">
        <v>194</v>
      </c>
      <c r="C2225" s="9" t="s">
        <v>516</v>
      </c>
      <c r="D2225" s="9" t="n">
        <v>4</v>
      </c>
      <c r="E2225" s="30" t="n">
        <v>3836</v>
      </c>
      <c r="F2225" s="30" t="n">
        <v>576</v>
      </c>
      <c r="G2225" s="35" t="n">
        <v>0.150156412930136</v>
      </c>
    </row>
    <row r="2226" customFormat="false" ht="15" hidden="false" customHeight="false" outlineLevel="0" collapsed="false">
      <c r="A2226" s="25" t="s">
        <v>2597</v>
      </c>
      <c r="B2226" s="25" t="s">
        <v>194</v>
      </c>
      <c r="C2226" s="29" t="s">
        <v>223</v>
      </c>
      <c r="D2226" s="29" t="n">
        <v>3</v>
      </c>
      <c r="E2226" s="31" t="n">
        <v>3828</v>
      </c>
      <c r="F2226" s="31" t="n">
        <v>573</v>
      </c>
      <c r="G2226" s="37" t="n">
        <v>0.149686520376176</v>
      </c>
    </row>
    <row r="2227" customFormat="false" ht="15" hidden="false" customHeight="false" outlineLevel="0" collapsed="false">
      <c r="A2227" s="20" t="s">
        <v>2598</v>
      </c>
      <c r="B2227" s="20" t="s">
        <v>194</v>
      </c>
      <c r="C2227" s="9" t="s">
        <v>334</v>
      </c>
      <c r="D2227" s="9" t="n">
        <v>16</v>
      </c>
      <c r="E2227" s="30" t="n">
        <v>3824</v>
      </c>
      <c r="F2227" s="30" t="n">
        <v>928</v>
      </c>
      <c r="G2227" s="35" t="n">
        <v>0.242677824267782</v>
      </c>
    </row>
    <row r="2228" customFormat="false" ht="15" hidden="false" customHeight="false" outlineLevel="0" collapsed="false">
      <c r="A2228" s="25" t="s">
        <v>2599</v>
      </c>
      <c r="B2228" s="25" t="s">
        <v>200</v>
      </c>
      <c r="C2228" s="29" t="s">
        <v>223</v>
      </c>
      <c r="D2228" s="29" t="n">
        <v>5</v>
      </c>
      <c r="E2228" s="31" t="n">
        <v>3810</v>
      </c>
      <c r="F2228" s="31" t="n">
        <v>572</v>
      </c>
      <c r="G2228" s="37" t="n">
        <v>0.150131233595801</v>
      </c>
    </row>
    <row r="2229" customFormat="false" ht="15" hidden="false" customHeight="false" outlineLevel="0" collapsed="false">
      <c r="A2229" s="20" t="s">
        <v>2600</v>
      </c>
      <c r="B2229" s="20" t="s">
        <v>2476</v>
      </c>
      <c r="C2229" s="9" t="s">
        <v>316</v>
      </c>
      <c r="D2229" s="9" t="n">
        <v>12</v>
      </c>
      <c r="E2229" s="30" t="n">
        <v>3804</v>
      </c>
      <c r="F2229" s="30" t="n">
        <v>571</v>
      </c>
      <c r="G2229" s="35" t="n">
        <v>0.150105152471083</v>
      </c>
    </row>
    <row r="2230" customFormat="false" ht="15" hidden="false" customHeight="false" outlineLevel="0" collapsed="false">
      <c r="A2230" s="25" t="s">
        <v>2601</v>
      </c>
      <c r="B2230" s="25" t="s">
        <v>200</v>
      </c>
      <c r="C2230" s="29" t="s">
        <v>355</v>
      </c>
      <c r="D2230" s="29" t="n">
        <v>1</v>
      </c>
      <c r="E2230" s="31" t="n">
        <v>3800</v>
      </c>
      <c r="F2230" s="31" t="n">
        <v>570</v>
      </c>
      <c r="G2230" s="37" t="n">
        <v>0.15</v>
      </c>
    </row>
    <row r="2231" customFormat="false" ht="15" hidden="false" customHeight="false" outlineLevel="0" collapsed="false">
      <c r="A2231" s="20" t="s">
        <v>2602</v>
      </c>
      <c r="B2231" s="20" t="s">
        <v>220</v>
      </c>
      <c r="C2231" s="9" t="s">
        <v>229</v>
      </c>
      <c r="D2231" s="9" t="n">
        <v>2</v>
      </c>
      <c r="E2231" s="30" t="n">
        <v>3798</v>
      </c>
      <c r="F2231" s="30" t="n">
        <v>-1430</v>
      </c>
      <c r="G2231" s="35" t="n">
        <v>-0.376513954713007</v>
      </c>
    </row>
    <row r="2232" customFormat="false" ht="15" hidden="false" customHeight="false" outlineLevel="0" collapsed="false">
      <c r="A2232" s="25" t="s">
        <v>2603</v>
      </c>
      <c r="B2232" s="29" t="s">
        <v>253</v>
      </c>
      <c r="C2232" s="29" t="s">
        <v>223</v>
      </c>
      <c r="D2232" s="29" t="n">
        <v>4</v>
      </c>
      <c r="E2232" s="31" t="n">
        <v>3796</v>
      </c>
      <c r="F2232" s="31" t="n">
        <v>568</v>
      </c>
      <c r="G2232" s="37" t="n">
        <v>0.149631190727081</v>
      </c>
    </row>
    <row r="2233" customFormat="false" ht="15" hidden="false" customHeight="false" outlineLevel="0" collapsed="false">
      <c r="A2233" s="20" t="s">
        <v>2604</v>
      </c>
      <c r="B2233" s="9" t="s">
        <v>253</v>
      </c>
      <c r="C2233" s="9" t="s">
        <v>223</v>
      </c>
      <c r="D2233" s="9" t="n">
        <v>4</v>
      </c>
      <c r="E2233" s="30" t="n">
        <v>3796</v>
      </c>
      <c r="F2233" s="30" t="n">
        <v>568</v>
      </c>
      <c r="G2233" s="35" t="n">
        <v>0.149631190727081</v>
      </c>
    </row>
    <row r="2234" customFormat="false" ht="15" hidden="false" customHeight="false" outlineLevel="0" collapsed="false">
      <c r="A2234" s="25" t="s">
        <v>2605</v>
      </c>
      <c r="B2234" s="25" t="s">
        <v>332</v>
      </c>
      <c r="C2234" s="29" t="s">
        <v>223</v>
      </c>
      <c r="D2234" s="29" t="n">
        <v>3</v>
      </c>
      <c r="E2234" s="31" t="n">
        <v>3783</v>
      </c>
      <c r="F2234" s="31" t="n">
        <v>822</v>
      </c>
      <c r="G2234" s="37" t="n">
        <v>0.217287866772403</v>
      </c>
    </row>
    <row r="2235" customFormat="false" ht="15" hidden="false" customHeight="false" outlineLevel="0" collapsed="false">
      <c r="A2235" s="20" t="s">
        <v>2606</v>
      </c>
      <c r="B2235" s="20" t="s">
        <v>194</v>
      </c>
      <c r="C2235" s="9" t="s">
        <v>203</v>
      </c>
      <c r="D2235" s="9" t="n">
        <v>1</v>
      </c>
      <c r="E2235" s="30" t="n">
        <v>3771</v>
      </c>
      <c r="F2235" s="30" t="n">
        <v>566</v>
      </c>
      <c r="G2235" s="35" t="n">
        <v>0.1500928135773</v>
      </c>
    </row>
    <row r="2236" customFormat="false" ht="15" hidden="false" customHeight="false" outlineLevel="0" collapsed="false">
      <c r="A2236" s="25" t="s">
        <v>2607</v>
      </c>
      <c r="B2236" s="25" t="s">
        <v>200</v>
      </c>
      <c r="C2236" s="29" t="s">
        <v>223</v>
      </c>
      <c r="D2236" s="29" t="n">
        <v>2</v>
      </c>
      <c r="E2236" s="31" t="n">
        <v>3768</v>
      </c>
      <c r="F2236" s="31" t="n">
        <v>566</v>
      </c>
      <c r="G2236" s="37" t="n">
        <v>0.150212314225053</v>
      </c>
    </row>
    <row r="2237" customFormat="false" ht="15" hidden="false" customHeight="false" outlineLevel="0" collapsed="false">
      <c r="A2237" s="20" t="s">
        <v>2608</v>
      </c>
      <c r="B2237" s="20" t="s">
        <v>194</v>
      </c>
      <c r="C2237" s="9" t="s">
        <v>297</v>
      </c>
      <c r="D2237" s="9" t="n">
        <v>1</v>
      </c>
      <c r="E2237" s="30" t="n">
        <v>3762</v>
      </c>
      <c r="F2237" s="30" t="n">
        <v>564</v>
      </c>
      <c r="G2237" s="35" t="n">
        <v>0.149920255183413</v>
      </c>
    </row>
    <row r="2238" customFormat="false" ht="15" hidden="false" customHeight="false" outlineLevel="0" collapsed="false">
      <c r="A2238" s="25" t="s">
        <v>2609</v>
      </c>
      <c r="B2238" s="25" t="s">
        <v>2610</v>
      </c>
      <c r="C2238" s="29" t="s">
        <v>203</v>
      </c>
      <c r="D2238" s="29" t="n">
        <v>10</v>
      </c>
      <c r="E2238" s="31" t="n">
        <v>3750</v>
      </c>
      <c r="F2238" s="31" t="n">
        <v>560</v>
      </c>
      <c r="G2238" s="37" t="n">
        <v>0.149333333333333</v>
      </c>
    </row>
    <row r="2239" customFormat="false" ht="15" hidden="false" customHeight="false" outlineLevel="0" collapsed="false">
      <c r="A2239" s="20" t="s">
        <v>2611</v>
      </c>
      <c r="B2239" s="9" t="s">
        <v>216</v>
      </c>
      <c r="C2239" s="9" t="s">
        <v>428</v>
      </c>
      <c r="D2239" s="9" t="n">
        <v>3</v>
      </c>
      <c r="E2239" s="30" t="n">
        <v>3741</v>
      </c>
      <c r="F2239" s="30" t="n">
        <v>1770</v>
      </c>
      <c r="G2239" s="35" t="n">
        <v>0.473135525260626</v>
      </c>
    </row>
    <row r="2240" customFormat="false" ht="15" hidden="false" customHeight="false" outlineLevel="0" collapsed="false">
      <c r="A2240" s="25" t="s">
        <v>2612</v>
      </c>
      <c r="B2240" s="25" t="s">
        <v>200</v>
      </c>
      <c r="C2240" s="29" t="s">
        <v>297</v>
      </c>
      <c r="D2240" s="29" t="n">
        <v>1</v>
      </c>
      <c r="E2240" s="31" t="n">
        <v>3739</v>
      </c>
      <c r="F2240" s="31" t="n">
        <v>561</v>
      </c>
      <c r="G2240" s="37" t="n">
        <v>0.150040117678524</v>
      </c>
    </row>
    <row r="2241" customFormat="false" ht="15" hidden="false" customHeight="false" outlineLevel="0" collapsed="false">
      <c r="A2241" s="20" t="s">
        <v>2613</v>
      </c>
      <c r="B2241" s="20" t="s">
        <v>220</v>
      </c>
      <c r="C2241" s="9" t="s">
        <v>622</v>
      </c>
      <c r="D2241" s="9" t="n">
        <v>1</v>
      </c>
      <c r="E2241" s="30" t="n">
        <v>3737</v>
      </c>
      <c r="F2241" s="30" t="n">
        <v>1236</v>
      </c>
      <c r="G2241" s="35" t="n">
        <v>0.330746588172331</v>
      </c>
    </row>
    <row r="2242" customFormat="false" ht="15" hidden="false" customHeight="false" outlineLevel="0" collapsed="false">
      <c r="A2242" s="25" t="s">
        <v>2614</v>
      </c>
      <c r="B2242" s="29" t="s">
        <v>1218</v>
      </c>
      <c r="C2242" s="29" t="s">
        <v>355</v>
      </c>
      <c r="D2242" s="29" t="n">
        <v>1</v>
      </c>
      <c r="E2242" s="31" t="n">
        <v>3736</v>
      </c>
      <c r="F2242" s="31" t="n">
        <v>3526</v>
      </c>
      <c r="G2242" s="37" t="n">
        <v>0.943790149892934</v>
      </c>
    </row>
    <row r="2243" customFormat="false" ht="15" hidden="false" customHeight="false" outlineLevel="0" collapsed="false">
      <c r="A2243" s="20" t="s">
        <v>2615</v>
      </c>
      <c r="B2243" s="20" t="s">
        <v>194</v>
      </c>
      <c r="C2243" s="9" t="s">
        <v>229</v>
      </c>
      <c r="D2243" s="9" t="n">
        <v>1</v>
      </c>
      <c r="E2243" s="30" t="n">
        <v>3724</v>
      </c>
      <c r="F2243" s="30" t="n">
        <v>887</v>
      </c>
      <c r="G2243" s="35" t="n">
        <v>0.238184747583244</v>
      </c>
    </row>
    <row r="2244" customFormat="false" ht="15" hidden="false" customHeight="false" outlineLevel="0" collapsed="false">
      <c r="A2244" s="25" t="s">
        <v>2616</v>
      </c>
      <c r="B2244" s="25" t="s">
        <v>194</v>
      </c>
      <c r="C2244" s="29" t="s">
        <v>203</v>
      </c>
      <c r="D2244" s="29" t="n">
        <v>4</v>
      </c>
      <c r="E2244" s="31" t="n">
        <v>3720</v>
      </c>
      <c r="F2244" s="31" t="n">
        <v>861</v>
      </c>
      <c r="G2244" s="37" t="n">
        <v>0.231451612903226</v>
      </c>
    </row>
    <row r="2245" customFormat="false" ht="15" hidden="false" customHeight="false" outlineLevel="0" collapsed="false">
      <c r="A2245" s="20" t="s">
        <v>2617</v>
      </c>
      <c r="B2245" s="20" t="s">
        <v>2618</v>
      </c>
      <c r="C2245" s="9" t="s">
        <v>1885</v>
      </c>
      <c r="D2245" s="9" t="n">
        <v>2</v>
      </c>
      <c r="E2245" s="30" t="n">
        <v>3716</v>
      </c>
      <c r="F2245" s="30" t="n">
        <v>557</v>
      </c>
      <c r="G2245" s="35" t="n">
        <v>0.14989235737352</v>
      </c>
    </row>
    <row r="2246" customFormat="false" ht="15" hidden="false" customHeight="false" outlineLevel="0" collapsed="false">
      <c r="A2246" s="25" t="s">
        <v>2619</v>
      </c>
      <c r="B2246" s="25" t="s">
        <v>194</v>
      </c>
      <c r="C2246" s="29" t="s">
        <v>203</v>
      </c>
      <c r="D2246" s="29" t="n">
        <v>2</v>
      </c>
      <c r="E2246" s="31" t="n">
        <v>3710</v>
      </c>
      <c r="F2246" s="31" t="n">
        <v>556</v>
      </c>
      <c r="G2246" s="37" t="n">
        <v>0.149865229110512</v>
      </c>
    </row>
    <row r="2247" customFormat="false" ht="15" hidden="false" customHeight="false" outlineLevel="0" collapsed="false">
      <c r="A2247" s="20" t="s">
        <v>2620</v>
      </c>
      <c r="B2247" s="20" t="s">
        <v>194</v>
      </c>
      <c r="C2247" s="9" t="s">
        <v>195</v>
      </c>
      <c r="D2247" s="9" t="n">
        <v>1</v>
      </c>
      <c r="E2247" s="30" t="n">
        <v>3698</v>
      </c>
      <c r="F2247" s="30" t="n">
        <v>763</v>
      </c>
      <c r="G2247" s="35" t="n">
        <v>0.206327744726879</v>
      </c>
    </row>
    <row r="2248" customFormat="false" ht="15" hidden="false" customHeight="false" outlineLevel="0" collapsed="false">
      <c r="A2248" s="25" t="s">
        <v>2621</v>
      </c>
      <c r="B2248" s="25" t="s">
        <v>194</v>
      </c>
      <c r="C2248" s="29" t="s">
        <v>203</v>
      </c>
      <c r="D2248" s="29" t="n">
        <v>1</v>
      </c>
      <c r="E2248" s="31" t="n">
        <v>3697</v>
      </c>
      <c r="F2248" s="31" t="n">
        <v>-223</v>
      </c>
      <c r="G2248" s="37" t="n">
        <v>-0.0603191777116581</v>
      </c>
    </row>
    <row r="2249" customFormat="false" ht="15" hidden="false" customHeight="false" outlineLevel="0" collapsed="false">
      <c r="A2249" s="20" t="s">
        <v>2622</v>
      </c>
      <c r="B2249" s="20" t="s">
        <v>194</v>
      </c>
      <c r="C2249" s="9" t="s">
        <v>428</v>
      </c>
      <c r="D2249" s="9" t="n">
        <v>7</v>
      </c>
      <c r="E2249" s="30" t="n">
        <v>3661</v>
      </c>
      <c r="F2249" s="30" t="n">
        <v>1281</v>
      </c>
      <c r="G2249" s="35" t="n">
        <v>0.349904397705545</v>
      </c>
    </row>
    <row r="2250" customFormat="false" ht="15" hidden="false" customHeight="false" outlineLevel="0" collapsed="false">
      <c r="A2250" s="25" t="s">
        <v>2623</v>
      </c>
      <c r="B2250" s="25" t="s">
        <v>194</v>
      </c>
      <c r="C2250" s="29" t="s">
        <v>485</v>
      </c>
      <c r="D2250" s="29" t="n">
        <v>1</v>
      </c>
      <c r="E2250" s="31" t="n">
        <v>3649</v>
      </c>
      <c r="F2250" s="31" t="n">
        <v>663</v>
      </c>
      <c r="G2250" s="37" t="n">
        <v>0.181693614688956</v>
      </c>
    </row>
    <row r="2251" customFormat="false" ht="15" hidden="false" customHeight="false" outlineLevel="0" collapsed="false">
      <c r="A2251" s="20" t="s">
        <v>2624</v>
      </c>
      <c r="B2251" s="20" t="s">
        <v>200</v>
      </c>
      <c r="C2251" s="9" t="s">
        <v>297</v>
      </c>
      <c r="D2251" s="9" t="n">
        <v>1</v>
      </c>
      <c r="E2251" s="30" t="n">
        <v>3639</v>
      </c>
      <c r="F2251" s="30" t="n">
        <v>546</v>
      </c>
      <c r="G2251" s="35" t="n">
        <v>0.150041220115416</v>
      </c>
    </row>
    <row r="2252" customFormat="false" ht="15" hidden="false" customHeight="false" outlineLevel="0" collapsed="false">
      <c r="A2252" s="25" t="s">
        <v>2625</v>
      </c>
      <c r="B2252" s="29"/>
      <c r="C2252" s="29" t="s">
        <v>428</v>
      </c>
      <c r="D2252" s="29" t="n">
        <v>2</v>
      </c>
      <c r="E2252" s="31" t="n">
        <v>3638</v>
      </c>
      <c r="F2252" s="31" t="n">
        <v>1218</v>
      </c>
      <c r="G2252" s="37" t="n">
        <v>0.334799340296866</v>
      </c>
    </row>
    <row r="2253" customFormat="false" ht="15" hidden="false" customHeight="false" outlineLevel="0" collapsed="false">
      <c r="A2253" s="20" t="s">
        <v>2626</v>
      </c>
      <c r="B2253" s="20" t="s">
        <v>200</v>
      </c>
      <c r="C2253" s="9" t="s">
        <v>223</v>
      </c>
      <c r="D2253" s="9" t="n">
        <v>6</v>
      </c>
      <c r="E2253" s="30" t="n">
        <v>3636</v>
      </c>
      <c r="F2253" s="30" t="n">
        <v>2796</v>
      </c>
      <c r="G2253" s="35" t="n">
        <v>0.768976897689769</v>
      </c>
    </row>
    <row r="2254" customFormat="false" ht="15" hidden="false" customHeight="false" outlineLevel="0" collapsed="false">
      <c r="A2254" s="25" t="s">
        <v>2627</v>
      </c>
      <c r="B2254" s="25" t="s">
        <v>194</v>
      </c>
      <c r="C2254" s="29" t="s">
        <v>223</v>
      </c>
      <c r="D2254" s="29" t="n">
        <v>1</v>
      </c>
      <c r="E2254" s="31" t="n">
        <v>3636</v>
      </c>
      <c r="F2254" s="31" t="n">
        <v>545</v>
      </c>
      <c r="G2254" s="37" t="n">
        <v>0.1498899889989</v>
      </c>
    </row>
    <row r="2255" customFormat="false" ht="15" hidden="false" customHeight="false" outlineLevel="0" collapsed="false">
      <c r="A2255" s="20" t="s">
        <v>2628</v>
      </c>
      <c r="B2255" s="20" t="s">
        <v>220</v>
      </c>
      <c r="C2255" s="9" t="s">
        <v>217</v>
      </c>
      <c r="D2255" s="9" t="n">
        <v>1</v>
      </c>
      <c r="E2255" s="30" t="n">
        <v>3636</v>
      </c>
      <c r="F2255" s="30" t="n">
        <v>2618</v>
      </c>
      <c r="G2255" s="35" t="n">
        <v>0.72002200220022</v>
      </c>
    </row>
    <row r="2256" customFormat="false" ht="15" hidden="false" customHeight="false" outlineLevel="0" collapsed="false">
      <c r="A2256" s="25" t="s">
        <v>2629</v>
      </c>
      <c r="B2256" s="25" t="s">
        <v>194</v>
      </c>
      <c r="C2256" s="29" t="s">
        <v>2160</v>
      </c>
      <c r="D2256" s="29" t="n">
        <v>5</v>
      </c>
      <c r="E2256" s="31" t="n">
        <v>3635</v>
      </c>
      <c r="F2256" s="31" t="n">
        <v>545</v>
      </c>
      <c r="G2256" s="37" t="n">
        <v>0.149931224209078</v>
      </c>
    </row>
    <row r="2257" customFormat="false" ht="15" hidden="false" customHeight="false" outlineLevel="0" collapsed="false">
      <c r="A2257" s="20" t="s">
        <v>2630</v>
      </c>
      <c r="B2257" s="9" t="s">
        <v>253</v>
      </c>
      <c r="C2257" s="9" t="s">
        <v>223</v>
      </c>
      <c r="D2257" s="9" t="n">
        <v>1</v>
      </c>
      <c r="E2257" s="30" t="n">
        <v>3601</v>
      </c>
      <c r="F2257" s="30" t="n">
        <v>540</v>
      </c>
      <c r="G2257" s="35" t="n">
        <v>0.149958344904193</v>
      </c>
    </row>
    <row r="2258" customFormat="false" ht="15" hidden="false" customHeight="false" outlineLevel="0" collapsed="false">
      <c r="A2258" s="25" t="s">
        <v>2631</v>
      </c>
      <c r="B2258" s="25" t="s">
        <v>2632</v>
      </c>
      <c r="C2258" s="29" t="s">
        <v>380</v>
      </c>
      <c r="D2258" s="29" t="n">
        <v>20</v>
      </c>
      <c r="E2258" s="31" t="n">
        <v>3600</v>
      </c>
      <c r="F2258" s="31" t="n">
        <v>2640</v>
      </c>
      <c r="G2258" s="37" t="n">
        <v>0.733333333333333</v>
      </c>
    </row>
    <row r="2259" customFormat="false" ht="15" hidden="false" customHeight="false" outlineLevel="0" collapsed="false">
      <c r="A2259" s="20" t="s">
        <v>2633</v>
      </c>
      <c r="B2259" s="9" t="s">
        <v>253</v>
      </c>
      <c r="C2259" s="9" t="s">
        <v>229</v>
      </c>
      <c r="D2259" s="9" t="n">
        <v>2</v>
      </c>
      <c r="E2259" s="30" t="n">
        <v>3600</v>
      </c>
      <c r="F2259" s="30" t="n">
        <v>1834</v>
      </c>
      <c r="G2259" s="35" t="n">
        <v>0.509444444444445</v>
      </c>
    </row>
    <row r="2260" customFormat="false" ht="15" hidden="false" customHeight="false" outlineLevel="0" collapsed="false">
      <c r="A2260" s="25" t="s">
        <v>2634</v>
      </c>
      <c r="B2260" s="25" t="s">
        <v>194</v>
      </c>
      <c r="C2260" s="29" t="s">
        <v>258</v>
      </c>
      <c r="D2260" s="29" t="n">
        <v>5</v>
      </c>
      <c r="E2260" s="31" t="n">
        <v>3575</v>
      </c>
      <c r="F2260" s="31" t="n">
        <v>-10</v>
      </c>
      <c r="G2260" s="37" t="n">
        <v>-0.0027972027972027</v>
      </c>
    </row>
    <row r="2261" customFormat="false" ht="15" hidden="false" customHeight="false" outlineLevel="0" collapsed="false">
      <c r="A2261" s="20" t="s">
        <v>2635</v>
      </c>
      <c r="B2261" s="9" t="s">
        <v>216</v>
      </c>
      <c r="C2261" s="9" t="s">
        <v>428</v>
      </c>
      <c r="D2261" s="9" t="n">
        <v>4</v>
      </c>
      <c r="E2261" s="30" t="n">
        <v>3568</v>
      </c>
      <c r="F2261" s="30" t="n">
        <v>2068</v>
      </c>
      <c r="G2261" s="35" t="n">
        <v>0.579596412556054</v>
      </c>
    </row>
    <row r="2262" customFormat="false" ht="15" hidden="false" customHeight="false" outlineLevel="0" collapsed="false">
      <c r="A2262" s="25" t="s">
        <v>2636</v>
      </c>
      <c r="B2262" s="25" t="s">
        <v>194</v>
      </c>
      <c r="C2262" s="29" t="s">
        <v>223</v>
      </c>
      <c r="D2262" s="29" t="n">
        <v>2</v>
      </c>
      <c r="E2262" s="31" t="n">
        <v>3558</v>
      </c>
      <c r="F2262" s="31" t="n">
        <v>512</v>
      </c>
      <c r="G2262" s="37" t="n">
        <v>0.143901068015739</v>
      </c>
    </row>
    <row r="2263" customFormat="false" ht="15" hidden="false" customHeight="false" outlineLevel="0" collapsed="false">
      <c r="A2263" s="20" t="s">
        <v>2637</v>
      </c>
      <c r="B2263" s="9" t="s">
        <v>253</v>
      </c>
      <c r="C2263" s="9" t="s">
        <v>428</v>
      </c>
      <c r="D2263" s="9" t="n">
        <v>2</v>
      </c>
      <c r="E2263" s="30" t="n">
        <v>3550</v>
      </c>
      <c r="F2263" s="30" t="n">
        <v>710</v>
      </c>
      <c r="G2263" s="35" t="n">
        <v>0.2</v>
      </c>
    </row>
    <row r="2264" customFormat="false" ht="15" hidden="false" customHeight="false" outlineLevel="0" collapsed="false">
      <c r="A2264" s="25" t="s">
        <v>2638</v>
      </c>
      <c r="B2264" s="25" t="s">
        <v>194</v>
      </c>
      <c r="C2264" s="29" t="s">
        <v>439</v>
      </c>
      <c r="D2264" s="29" t="n">
        <v>1</v>
      </c>
      <c r="E2264" s="31" t="n">
        <v>3535</v>
      </c>
      <c r="F2264" s="31" t="n">
        <v>1620</v>
      </c>
      <c r="G2264" s="37" t="n">
        <v>0.458274398868458</v>
      </c>
    </row>
    <row r="2265" customFormat="false" ht="15" hidden="false" customHeight="false" outlineLevel="0" collapsed="false">
      <c r="A2265" s="20" t="s">
        <v>2639</v>
      </c>
      <c r="B2265" s="20" t="s">
        <v>220</v>
      </c>
      <c r="C2265" s="9" t="s">
        <v>217</v>
      </c>
      <c r="D2265" s="9" t="n">
        <v>2</v>
      </c>
      <c r="E2265" s="30" t="n">
        <v>3530</v>
      </c>
      <c r="F2265" s="30" t="n">
        <v>529</v>
      </c>
      <c r="G2265" s="35" t="n">
        <v>0.14985835694051</v>
      </c>
    </row>
    <row r="2266" customFormat="false" ht="15" hidden="false" customHeight="false" outlineLevel="0" collapsed="false">
      <c r="A2266" s="25" t="s">
        <v>2640</v>
      </c>
      <c r="B2266" s="25" t="s">
        <v>194</v>
      </c>
      <c r="C2266" s="29" t="s">
        <v>217</v>
      </c>
      <c r="D2266" s="29" t="n">
        <v>3</v>
      </c>
      <c r="E2266" s="31" t="n">
        <v>3522</v>
      </c>
      <c r="F2266" s="31" t="n">
        <v>738</v>
      </c>
      <c r="G2266" s="37" t="n">
        <v>0.20954003407155</v>
      </c>
    </row>
    <row r="2267" customFormat="false" ht="15" hidden="false" customHeight="false" outlineLevel="0" collapsed="false">
      <c r="A2267" s="20" t="s">
        <v>2641</v>
      </c>
      <c r="B2267" s="20" t="s">
        <v>200</v>
      </c>
      <c r="C2267" s="9" t="s">
        <v>223</v>
      </c>
      <c r="D2267" s="9" t="n">
        <v>1</v>
      </c>
      <c r="E2267" s="30" t="n">
        <v>3505</v>
      </c>
      <c r="F2267" s="30" t="n">
        <v>1087</v>
      </c>
      <c r="G2267" s="35" t="n">
        <v>0.310128388017118</v>
      </c>
    </row>
    <row r="2268" customFormat="false" ht="15" hidden="false" customHeight="false" outlineLevel="0" collapsed="false">
      <c r="A2268" s="25" t="s">
        <v>2642</v>
      </c>
      <c r="B2268" s="25" t="s">
        <v>200</v>
      </c>
      <c r="C2268" s="29" t="s">
        <v>1009</v>
      </c>
      <c r="D2268" s="29" t="n">
        <v>2</v>
      </c>
      <c r="E2268" s="31" t="n">
        <v>3492</v>
      </c>
      <c r="F2268" s="31" t="n">
        <v>2692</v>
      </c>
      <c r="G2268" s="37" t="n">
        <v>0.770904925544101</v>
      </c>
    </row>
    <row r="2269" customFormat="false" ht="15" hidden="false" customHeight="false" outlineLevel="0" collapsed="false">
      <c r="A2269" s="20" t="s">
        <v>2643</v>
      </c>
      <c r="B2269" s="20" t="s">
        <v>2476</v>
      </c>
      <c r="C2269" s="9" t="s">
        <v>316</v>
      </c>
      <c r="D2269" s="9" t="n">
        <v>11</v>
      </c>
      <c r="E2269" s="30" t="n">
        <v>3487</v>
      </c>
      <c r="F2269" s="30" t="n">
        <v>523</v>
      </c>
      <c r="G2269" s="35" t="n">
        <v>0.149985661026671</v>
      </c>
    </row>
    <row r="2270" customFormat="false" ht="15" hidden="false" customHeight="false" outlineLevel="0" collapsed="false">
      <c r="A2270" s="25" t="s">
        <v>2644</v>
      </c>
      <c r="B2270" s="25" t="s">
        <v>200</v>
      </c>
      <c r="C2270" s="29" t="s">
        <v>297</v>
      </c>
      <c r="D2270" s="29" t="n">
        <v>1</v>
      </c>
      <c r="E2270" s="31" t="n">
        <v>3481</v>
      </c>
      <c r="F2270" s="31" t="n">
        <v>1540</v>
      </c>
      <c r="G2270" s="37" t="n">
        <v>0.442401608733123</v>
      </c>
    </row>
    <row r="2271" customFormat="false" ht="15" hidden="false" customHeight="false" outlineLevel="0" collapsed="false">
      <c r="A2271" s="20" t="s">
        <v>2645</v>
      </c>
      <c r="B2271" s="20" t="s">
        <v>240</v>
      </c>
      <c r="C2271" s="9" t="s">
        <v>391</v>
      </c>
      <c r="D2271" s="9" t="n">
        <v>4</v>
      </c>
      <c r="E2271" s="30" t="n">
        <v>3480</v>
      </c>
      <c r="F2271" s="30" t="n">
        <v>2560</v>
      </c>
      <c r="G2271" s="35" t="n">
        <v>0.735632183908046</v>
      </c>
    </row>
    <row r="2272" customFormat="false" ht="15" hidden="false" customHeight="false" outlineLevel="0" collapsed="false">
      <c r="A2272" s="25" t="s">
        <v>2646</v>
      </c>
      <c r="B2272" s="29" t="s">
        <v>253</v>
      </c>
      <c r="C2272" s="29" t="s">
        <v>428</v>
      </c>
      <c r="D2272" s="29" t="n">
        <v>7</v>
      </c>
      <c r="E2272" s="31" t="n">
        <v>3444</v>
      </c>
      <c r="F2272" s="31" t="n">
        <v>1400</v>
      </c>
      <c r="G2272" s="37" t="n">
        <v>0.40650406504065</v>
      </c>
    </row>
    <row r="2273" customFormat="false" ht="15" hidden="false" customHeight="false" outlineLevel="0" collapsed="false">
      <c r="A2273" s="20" t="s">
        <v>2647</v>
      </c>
      <c r="B2273" s="20" t="s">
        <v>1264</v>
      </c>
      <c r="C2273" s="9" t="s">
        <v>258</v>
      </c>
      <c r="D2273" s="9" t="n">
        <v>1</v>
      </c>
      <c r="E2273" s="30" t="n">
        <v>3430</v>
      </c>
      <c r="F2273" s="30" t="n">
        <v>1682</v>
      </c>
      <c r="G2273" s="35" t="n">
        <v>0.490379008746356</v>
      </c>
    </row>
    <row r="2274" customFormat="false" ht="15" hidden="false" customHeight="false" outlineLevel="0" collapsed="false">
      <c r="A2274" s="25" t="s">
        <v>2648</v>
      </c>
      <c r="B2274" s="25" t="s">
        <v>194</v>
      </c>
      <c r="C2274" s="29" t="s">
        <v>195</v>
      </c>
      <c r="D2274" s="29" t="n">
        <v>1</v>
      </c>
      <c r="E2274" s="31" t="n">
        <v>3428</v>
      </c>
      <c r="F2274" s="31" t="n">
        <v>514</v>
      </c>
      <c r="G2274" s="37" t="n">
        <v>0.149941656942824</v>
      </c>
    </row>
    <row r="2275" customFormat="false" ht="15" hidden="false" customHeight="false" outlineLevel="0" collapsed="false">
      <c r="A2275" s="20" t="s">
        <v>2649</v>
      </c>
      <c r="B2275" s="20" t="s">
        <v>194</v>
      </c>
      <c r="C2275" s="9" t="s">
        <v>297</v>
      </c>
      <c r="D2275" s="9" t="n">
        <v>1</v>
      </c>
      <c r="E2275" s="30" t="n">
        <v>3424</v>
      </c>
      <c r="F2275" s="30" t="n">
        <v>514</v>
      </c>
      <c r="G2275" s="35" t="n">
        <v>0.150116822429907</v>
      </c>
    </row>
    <row r="2276" customFormat="false" ht="15" hidden="false" customHeight="false" outlineLevel="0" collapsed="false">
      <c r="A2276" s="25" t="s">
        <v>2650</v>
      </c>
      <c r="B2276" s="25" t="s">
        <v>194</v>
      </c>
      <c r="C2276" s="29" t="s">
        <v>203</v>
      </c>
      <c r="D2276" s="29" t="n">
        <v>3</v>
      </c>
      <c r="E2276" s="31" t="n">
        <v>3420</v>
      </c>
      <c r="F2276" s="31" t="n">
        <v>513</v>
      </c>
      <c r="G2276" s="37" t="n">
        <v>0.15</v>
      </c>
    </row>
    <row r="2277" customFormat="false" ht="15" hidden="false" customHeight="false" outlineLevel="0" collapsed="false">
      <c r="A2277" s="20" t="s">
        <v>2651</v>
      </c>
      <c r="B2277" s="20" t="s">
        <v>194</v>
      </c>
      <c r="C2277" s="9" t="s">
        <v>485</v>
      </c>
      <c r="D2277" s="9" t="n">
        <v>2</v>
      </c>
      <c r="E2277" s="30" t="n">
        <v>3404</v>
      </c>
      <c r="F2277" s="30" t="n">
        <v>2028</v>
      </c>
      <c r="G2277" s="35" t="n">
        <v>0.595769682726205</v>
      </c>
    </row>
    <row r="2278" customFormat="false" ht="15" hidden="false" customHeight="false" outlineLevel="0" collapsed="false">
      <c r="A2278" s="25" t="s">
        <v>2652</v>
      </c>
      <c r="B2278" s="25" t="s">
        <v>200</v>
      </c>
      <c r="C2278" s="29" t="s">
        <v>880</v>
      </c>
      <c r="D2278" s="29" t="n">
        <v>2</v>
      </c>
      <c r="E2278" s="31" t="n">
        <v>3396</v>
      </c>
      <c r="F2278" s="31" t="n">
        <v>516</v>
      </c>
      <c r="G2278" s="37" t="n">
        <v>0.151943462897527</v>
      </c>
    </row>
    <row r="2279" customFormat="false" ht="15" hidden="false" customHeight="false" outlineLevel="0" collapsed="false">
      <c r="A2279" s="20" t="s">
        <v>2653</v>
      </c>
      <c r="B2279" s="20" t="s">
        <v>194</v>
      </c>
      <c r="C2279" s="9" t="s">
        <v>203</v>
      </c>
      <c r="D2279" s="9" t="n">
        <v>4</v>
      </c>
      <c r="E2279" s="30" t="n">
        <v>3392</v>
      </c>
      <c r="F2279" s="30" t="n">
        <v>508</v>
      </c>
      <c r="G2279" s="35" t="n">
        <v>0.149764150943396</v>
      </c>
    </row>
    <row r="2280" customFormat="false" ht="15" hidden="false" customHeight="false" outlineLevel="0" collapsed="false">
      <c r="A2280" s="25" t="s">
        <v>2654</v>
      </c>
      <c r="B2280" s="29" t="s">
        <v>2655</v>
      </c>
      <c r="C2280" s="29" t="s">
        <v>380</v>
      </c>
      <c r="D2280" s="29" t="n">
        <v>2</v>
      </c>
      <c r="E2280" s="31" t="n">
        <v>3390</v>
      </c>
      <c r="F2280" s="31" t="n">
        <v>508</v>
      </c>
      <c r="G2280" s="37" t="n">
        <v>0.149852507374631</v>
      </c>
    </row>
    <row r="2281" customFormat="false" ht="15" hidden="false" customHeight="false" outlineLevel="0" collapsed="false">
      <c r="A2281" s="20" t="s">
        <v>2656</v>
      </c>
      <c r="B2281" s="9" t="s">
        <v>253</v>
      </c>
      <c r="C2281" s="9" t="s">
        <v>428</v>
      </c>
      <c r="D2281" s="9" t="n">
        <v>4</v>
      </c>
      <c r="E2281" s="30" t="n">
        <v>3388</v>
      </c>
      <c r="F2281" s="30" t="n">
        <v>2156</v>
      </c>
      <c r="G2281" s="35" t="n">
        <v>0.636363636363636</v>
      </c>
    </row>
    <row r="2282" customFormat="false" ht="15" hidden="false" customHeight="false" outlineLevel="0" collapsed="false">
      <c r="A2282" s="25" t="s">
        <v>2657</v>
      </c>
      <c r="B2282" s="25" t="s">
        <v>194</v>
      </c>
      <c r="C2282" s="29" t="s">
        <v>880</v>
      </c>
      <c r="D2282" s="29" t="n">
        <v>1</v>
      </c>
      <c r="E2282" s="31" t="n">
        <v>3386</v>
      </c>
      <c r="F2282" s="31" t="n">
        <v>508</v>
      </c>
      <c r="G2282" s="37" t="n">
        <v>0.150029533372711</v>
      </c>
    </row>
    <row r="2283" customFormat="false" ht="15" hidden="false" customHeight="false" outlineLevel="0" collapsed="false">
      <c r="A2283" s="20" t="s">
        <v>2658</v>
      </c>
      <c r="B2283" s="20" t="s">
        <v>194</v>
      </c>
      <c r="C2283" s="9" t="s">
        <v>223</v>
      </c>
      <c r="D2283" s="9" t="n">
        <v>1</v>
      </c>
      <c r="E2283" s="30" t="n">
        <v>3371</v>
      </c>
      <c r="F2283" s="30" t="n">
        <v>768</v>
      </c>
      <c r="G2283" s="35" t="n">
        <v>0.227825571047167</v>
      </c>
    </row>
    <row r="2284" customFormat="false" ht="15" hidden="false" customHeight="false" outlineLevel="0" collapsed="false">
      <c r="A2284" s="25" t="s">
        <v>2659</v>
      </c>
      <c r="B2284" s="25" t="s">
        <v>200</v>
      </c>
      <c r="C2284" s="29" t="s">
        <v>223</v>
      </c>
      <c r="D2284" s="29" t="n">
        <v>5</v>
      </c>
      <c r="E2284" s="31" t="n">
        <v>3365</v>
      </c>
      <c r="F2284" s="31" t="n">
        <v>505</v>
      </c>
      <c r="G2284" s="37" t="n">
        <v>0.150074294205052</v>
      </c>
    </row>
    <row r="2285" customFormat="false" ht="15" hidden="false" customHeight="false" outlineLevel="0" collapsed="false">
      <c r="A2285" s="20" t="s">
        <v>2660</v>
      </c>
      <c r="B2285" s="9" t="s">
        <v>281</v>
      </c>
      <c r="C2285" s="9" t="s">
        <v>197</v>
      </c>
      <c r="D2285" s="9" t="n">
        <v>2</v>
      </c>
      <c r="E2285" s="30" t="n">
        <v>3362</v>
      </c>
      <c r="F2285" s="30" t="n">
        <v>1262</v>
      </c>
      <c r="G2285" s="35" t="n">
        <v>0.375371802498513</v>
      </c>
    </row>
    <row r="2286" customFormat="false" ht="15" hidden="false" customHeight="false" outlineLevel="0" collapsed="false">
      <c r="A2286" s="25" t="s">
        <v>2661</v>
      </c>
      <c r="B2286" s="25" t="s">
        <v>200</v>
      </c>
      <c r="C2286" s="29" t="s">
        <v>223</v>
      </c>
      <c r="D2286" s="29" t="n">
        <v>1</v>
      </c>
      <c r="E2286" s="31" t="n">
        <v>3358</v>
      </c>
      <c r="F2286" s="31" t="n">
        <v>504</v>
      </c>
      <c r="G2286" s="37" t="n">
        <v>0.150089338892198</v>
      </c>
    </row>
    <row r="2287" customFormat="false" ht="15" hidden="false" customHeight="false" outlineLevel="0" collapsed="false">
      <c r="A2287" s="20" t="s">
        <v>2662</v>
      </c>
      <c r="B2287" s="20" t="s">
        <v>194</v>
      </c>
      <c r="C2287" s="9" t="s">
        <v>203</v>
      </c>
      <c r="D2287" s="9" t="n">
        <v>1</v>
      </c>
      <c r="E2287" s="30" t="n">
        <v>3357</v>
      </c>
      <c r="F2287" s="30" t="n">
        <v>504</v>
      </c>
      <c r="G2287" s="35" t="n">
        <v>0.150134048257373</v>
      </c>
    </row>
    <row r="2288" customFormat="false" ht="15" hidden="false" customHeight="false" outlineLevel="0" collapsed="false">
      <c r="A2288" s="25" t="s">
        <v>2663</v>
      </c>
      <c r="B2288" s="25" t="s">
        <v>240</v>
      </c>
      <c r="C2288" s="29" t="s">
        <v>223</v>
      </c>
      <c r="D2288" s="29" t="n">
        <v>4</v>
      </c>
      <c r="E2288" s="31" t="n">
        <v>3336</v>
      </c>
      <c r="F2288" s="31" t="n">
        <v>1660</v>
      </c>
      <c r="G2288" s="37" t="n">
        <v>0.497601918465228</v>
      </c>
    </row>
    <row r="2289" customFormat="false" ht="15" hidden="false" customHeight="false" outlineLevel="0" collapsed="false">
      <c r="A2289" s="20" t="s">
        <v>2664</v>
      </c>
      <c r="B2289" s="9" t="s">
        <v>688</v>
      </c>
      <c r="C2289" s="9" t="s">
        <v>209</v>
      </c>
      <c r="D2289" s="9" t="n">
        <v>29</v>
      </c>
      <c r="E2289" s="30" t="n">
        <v>3335</v>
      </c>
      <c r="F2289" s="30" t="n">
        <v>493</v>
      </c>
      <c r="G2289" s="35" t="n">
        <v>0.147826086956522</v>
      </c>
    </row>
    <row r="2290" customFormat="false" ht="15" hidden="false" customHeight="false" outlineLevel="0" collapsed="false">
      <c r="A2290" s="25" t="s">
        <v>2665</v>
      </c>
      <c r="B2290" s="25" t="s">
        <v>2666</v>
      </c>
      <c r="C2290" s="29" t="s">
        <v>439</v>
      </c>
      <c r="D2290" s="29" t="n">
        <v>1</v>
      </c>
      <c r="E2290" s="31" t="n">
        <v>3327</v>
      </c>
      <c r="F2290" s="31" t="n">
        <v>2098</v>
      </c>
      <c r="G2290" s="37" t="n">
        <v>0.630598136459273</v>
      </c>
    </row>
    <row r="2291" customFormat="false" ht="15" hidden="false" customHeight="false" outlineLevel="0" collapsed="false">
      <c r="A2291" s="20" t="s">
        <v>2667</v>
      </c>
      <c r="B2291" s="9" t="s">
        <v>962</v>
      </c>
      <c r="C2291" s="9" t="s">
        <v>223</v>
      </c>
      <c r="D2291" s="9" t="n">
        <v>1</v>
      </c>
      <c r="E2291" s="30" t="n">
        <v>3319</v>
      </c>
      <c r="F2291" s="30" t="n">
        <v>-1691</v>
      </c>
      <c r="G2291" s="35" t="n">
        <v>-0.509490810485086</v>
      </c>
    </row>
    <row r="2292" customFormat="false" ht="15" hidden="false" customHeight="false" outlineLevel="0" collapsed="false">
      <c r="A2292" s="25" t="s">
        <v>2668</v>
      </c>
      <c r="B2292" s="25" t="s">
        <v>194</v>
      </c>
      <c r="C2292" s="29" t="s">
        <v>203</v>
      </c>
      <c r="D2292" s="29" t="n">
        <v>4</v>
      </c>
      <c r="E2292" s="31" t="n">
        <v>3308</v>
      </c>
      <c r="F2292" s="31" t="n">
        <v>441</v>
      </c>
      <c r="G2292" s="37" t="n">
        <v>0.133313180169287</v>
      </c>
    </row>
    <row r="2293" customFormat="false" ht="15" hidden="false" customHeight="false" outlineLevel="0" collapsed="false">
      <c r="A2293" s="20" t="s">
        <v>2669</v>
      </c>
      <c r="B2293" s="20" t="s">
        <v>194</v>
      </c>
      <c r="C2293" s="9" t="s">
        <v>203</v>
      </c>
      <c r="D2293" s="9" t="n">
        <v>3</v>
      </c>
      <c r="E2293" s="30" t="n">
        <v>3300</v>
      </c>
      <c r="F2293" s="30" t="n">
        <v>495</v>
      </c>
      <c r="G2293" s="35" t="n">
        <v>0.15</v>
      </c>
    </row>
    <row r="2294" customFormat="false" ht="15" hidden="false" customHeight="false" outlineLevel="0" collapsed="false">
      <c r="A2294" s="25" t="s">
        <v>2670</v>
      </c>
      <c r="B2294" s="25" t="s">
        <v>194</v>
      </c>
      <c r="C2294" s="29" t="s">
        <v>203</v>
      </c>
      <c r="D2294" s="29" t="n">
        <v>3</v>
      </c>
      <c r="E2294" s="31" t="n">
        <v>3291</v>
      </c>
      <c r="F2294" s="31" t="n">
        <v>1881</v>
      </c>
      <c r="G2294" s="37" t="n">
        <v>0.571558796718323</v>
      </c>
    </row>
    <row r="2295" customFormat="false" ht="15" hidden="false" customHeight="false" outlineLevel="0" collapsed="false">
      <c r="A2295" s="20" t="s">
        <v>2671</v>
      </c>
      <c r="B2295" s="20" t="s">
        <v>220</v>
      </c>
      <c r="C2295" s="9" t="s">
        <v>217</v>
      </c>
      <c r="D2295" s="9" t="n">
        <v>1</v>
      </c>
      <c r="E2295" s="30" t="n">
        <v>3288</v>
      </c>
      <c r="F2295" s="30" t="n">
        <v>1459</v>
      </c>
      <c r="G2295" s="35" t="n">
        <v>0.443734793187348</v>
      </c>
    </row>
    <row r="2296" customFormat="false" ht="15" hidden="false" customHeight="false" outlineLevel="0" collapsed="false">
      <c r="A2296" s="25" t="s">
        <v>2672</v>
      </c>
      <c r="B2296" s="25" t="s">
        <v>194</v>
      </c>
      <c r="C2296" s="29" t="s">
        <v>197</v>
      </c>
      <c r="D2296" s="29" t="n">
        <v>1</v>
      </c>
      <c r="E2296" s="31" t="n">
        <v>3274</v>
      </c>
      <c r="F2296" s="31" t="n">
        <v>2020</v>
      </c>
      <c r="G2296" s="37" t="n">
        <v>0.616982284667074</v>
      </c>
    </row>
    <row r="2297" customFormat="false" ht="15" hidden="false" customHeight="false" outlineLevel="0" collapsed="false">
      <c r="A2297" s="20" t="s">
        <v>2673</v>
      </c>
      <c r="B2297" s="9" t="s">
        <v>962</v>
      </c>
      <c r="C2297" s="9" t="s">
        <v>223</v>
      </c>
      <c r="D2297" s="9" t="n">
        <v>1</v>
      </c>
      <c r="E2297" s="30" t="n">
        <v>3273</v>
      </c>
      <c r="F2297" s="30" t="n">
        <v>-1457</v>
      </c>
      <c r="G2297" s="35" t="n">
        <v>-0.445157347998778</v>
      </c>
    </row>
    <row r="2298" customFormat="false" ht="15" hidden="false" customHeight="false" outlineLevel="0" collapsed="false">
      <c r="A2298" s="25" t="s">
        <v>2674</v>
      </c>
      <c r="B2298" s="25" t="s">
        <v>194</v>
      </c>
      <c r="C2298" s="29" t="s">
        <v>203</v>
      </c>
      <c r="D2298" s="29" t="n">
        <v>4</v>
      </c>
      <c r="E2298" s="31" t="n">
        <v>3268</v>
      </c>
      <c r="F2298" s="31" t="n">
        <v>425</v>
      </c>
      <c r="G2298" s="37" t="n">
        <v>0.130048959608323</v>
      </c>
    </row>
    <row r="2299" customFormat="false" ht="15" hidden="false" customHeight="false" outlineLevel="0" collapsed="false">
      <c r="A2299" s="20" t="s">
        <v>2675</v>
      </c>
      <c r="B2299" s="9" t="s">
        <v>253</v>
      </c>
      <c r="C2299" s="9" t="s">
        <v>355</v>
      </c>
      <c r="D2299" s="9" t="n">
        <v>2</v>
      </c>
      <c r="E2299" s="30" t="n">
        <v>3268</v>
      </c>
      <c r="F2299" s="30" t="n">
        <v>490</v>
      </c>
      <c r="G2299" s="35" t="n">
        <v>0.149938800489596</v>
      </c>
    </row>
    <row r="2300" customFormat="false" ht="15" hidden="false" customHeight="false" outlineLevel="0" collapsed="false">
      <c r="A2300" s="25" t="s">
        <v>2676</v>
      </c>
      <c r="B2300" s="25" t="s">
        <v>194</v>
      </c>
      <c r="C2300" s="29" t="s">
        <v>223</v>
      </c>
      <c r="D2300" s="29" t="n">
        <v>3</v>
      </c>
      <c r="E2300" s="31" t="n">
        <v>3249</v>
      </c>
      <c r="F2300" s="31" t="n">
        <v>2430</v>
      </c>
      <c r="G2300" s="37" t="n">
        <v>0.74792243767313</v>
      </c>
    </row>
    <row r="2301" customFormat="false" ht="15" hidden="false" customHeight="false" outlineLevel="0" collapsed="false">
      <c r="A2301" s="20" t="s">
        <v>2677</v>
      </c>
      <c r="B2301" s="20" t="s">
        <v>194</v>
      </c>
      <c r="C2301" s="9" t="s">
        <v>223</v>
      </c>
      <c r="D2301" s="9" t="n">
        <v>3</v>
      </c>
      <c r="E2301" s="30" t="n">
        <v>3246</v>
      </c>
      <c r="F2301" s="30" t="n">
        <v>2334</v>
      </c>
      <c r="G2301" s="35" t="n">
        <v>0.719038817005545</v>
      </c>
    </row>
    <row r="2302" customFormat="false" ht="15" hidden="false" customHeight="false" outlineLevel="0" collapsed="false">
      <c r="A2302" s="25" t="s">
        <v>2678</v>
      </c>
      <c r="B2302" s="25" t="s">
        <v>194</v>
      </c>
      <c r="C2302" s="29" t="s">
        <v>203</v>
      </c>
      <c r="D2302" s="29" t="n">
        <v>20</v>
      </c>
      <c r="E2302" s="31" t="n">
        <v>3240</v>
      </c>
      <c r="F2302" s="31" t="n">
        <v>490</v>
      </c>
      <c r="G2302" s="37" t="n">
        <v>0.151234567901235</v>
      </c>
    </row>
    <row r="2303" customFormat="false" ht="15" hidden="false" customHeight="false" outlineLevel="0" collapsed="false">
      <c r="A2303" s="20" t="s">
        <v>2679</v>
      </c>
      <c r="B2303" s="20" t="s">
        <v>200</v>
      </c>
      <c r="C2303" s="9" t="s">
        <v>223</v>
      </c>
      <c r="D2303" s="9" t="n">
        <v>1</v>
      </c>
      <c r="E2303" s="30" t="n">
        <v>3232</v>
      </c>
      <c r="F2303" s="30" t="n">
        <v>485</v>
      </c>
      <c r="G2303" s="35" t="n">
        <v>0.150061881188119</v>
      </c>
    </row>
    <row r="2304" customFormat="false" ht="15" hidden="false" customHeight="false" outlineLevel="0" collapsed="false">
      <c r="A2304" s="25" t="s">
        <v>2680</v>
      </c>
      <c r="B2304" s="25" t="s">
        <v>194</v>
      </c>
      <c r="C2304" s="29" t="s">
        <v>203</v>
      </c>
      <c r="D2304" s="29" t="n">
        <v>1</v>
      </c>
      <c r="E2304" s="31" t="n">
        <v>3228</v>
      </c>
      <c r="F2304" s="31" t="n">
        <v>484</v>
      </c>
      <c r="G2304" s="37" t="n">
        <v>0.149938042131351</v>
      </c>
    </row>
    <row r="2305" customFormat="false" ht="15" hidden="false" customHeight="false" outlineLevel="0" collapsed="false">
      <c r="A2305" s="20" t="s">
        <v>2681</v>
      </c>
      <c r="B2305" s="20" t="s">
        <v>194</v>
      </c>
      <c r="C2305" s="9" t="s">
        <v>485</v>
      </c>
      <c r="D2305" s="9" t="n">
        <v>1</v>
      </c>
      <c r="E2305" s="30" t="n">
        <v>3227</v>
      </c>
      <c r="F2305" s="30" t="n">
        <v>2443</v>
      </c>
      <c r="G2305" s="35" t="n">
        <v>0.75704989154013</v>
      </c>
    </row>
    <row r="2306" customFormat="false" ht="15" hidden="false" customHeight="false" outlineLevel="0" collapsed="false">
      <c r="A2306" s="25" t="s">
        <v>2682</v>
      </c>
      <c r="B2306" s="25" t="s">
        <v>240</v>
      </c>
      <c r="C2306" s="29" t="s">
        <v>391</v>
      </c>
      <c r="D2306" s="29" t="n">
        <v>4</v>
      </c>
      <c r="E2306" s="31" t="n">
        <v>3224</v>
      </c>
      <c r="F2306" s="31" t="n">
        <v>2104</v>
      </c>
      <c r="G2306" s="37" t="n">
        <v>0.652605459057072</v>
      </c>
    </row>
    <row r="2307" customFormat="false" ht="15" hidden="false" customHeight="false" outlineLevel="0" collapsed="false">
      <c r="A2307" s="20" t="s">
        <v>2683</v>
      </c>
      <c r="B2307" s="9" t="s">
        <v>962</v>
      </c>
      <c r="C2307" s="9" t="s">
        <v>223</v>
      </c>
      <c r="D2307" s="9" t="n">
        <v>1</v>
      </c>
      <c r="E2307" s="30" t="n">
        <v>3217</v>
      </c>
      <c r="F2307" s="30" t="n">
        <v>-1333</v>
      </c>
      <c r="G2307" s="35" t="n">
        <v>-0.414361206092633</v>
      </c>
    </row>
    <row r="2308" customFormat="false" ht="15" hidden="false" customHeight="false" outlineLevel="0" collapsed="false">
      <c r="A2308" s="25" t="s">
        <v>2684</v>
      </c>
      <c r="B2308" s="25" t="s">
        <v>194</v>
      </c>
      <c r="C2308" s="29" t="s">
        <v>334</v>
      </c>
      <c r="D2308" s="29" t="n">
        <v>4</v>
      </c>
      <c r="E2308" s="31" t="n">
        <v>3216</v>
      </c>
      <c r="F2308" s="31" t="n">
        <v>136</v>
      </c>
      <c r="G2308" s="37" t="n">
        <v>0.0422885572139303</v>
      </c>
    </row>
    <row r="2309" customFormat="false" ht="15" hidden="false" customHeight="false" outlineLevel="0" collapsed="false">
      <c r="A2309" s="20" t="s">
        <v>2685</v>
      </c>
      <c r="B2309" s="9" t="s">
        <v>253</v>
      </c>
      <c r="C2309" s="9" t="s">
        <v>428</v>
      </c>
      <c r="D2309" s="9" t="n">
        <v>2</v>
      </c>
      <c r="E2309" s="30" t="n">
        <v>3192</v>
      </c>
      <c r="F2309" s="30" t="n">
        <v>1804</v>
      </c>
      <c r="G2309" s="35" t="n">
        <v>0.56516290726817</v>
      </c>
    </row>
    <row r="2310" customFormat="false" ht="15" hidden="false" customHeight="false" outlineLevel="0" collapsed="false">
      <c r="A2310" s="25" t="s">
        <v>2686</v>
      </c>
      <c r="B2310" s="25" t="s">
        <v>194</v>
      </c>
      <c r="C2310" s="29" t="s">
        <v>223</v>
      </c>
      <c r="D2310" s="29" t="n">
        <v>1</v>
      </c>
      <c r="E2310" s="31" t="n">
        <v>3188</v>
      </c>
      <c r="F2310" s="31" t="n">
        <v>1324</v>
      </c>
      <c r="G2310" s="37" t="n">
        <v>0.415307402760351</v>
      </c>
    </row>
    <row r="2311" customFormat="false" ht="15" hidden="false" customHeight="false" outlineLevel="0" collapsed="false">
      <c r="A2311" s="20" t="s">
        <v>2687</v>
      </c>
      <c r="B2311" s="20" t="s">
        <v>194</v>
      </c>
      <c r="C2311" s="9" t="s">
        <v>209</v>
      </c>
      <c r="D2311" s="9" t="n">
        <v>2</v>
      </c>
      <c r="E2311" s="30" t="n">
        <v>3180</v>
      </c>
      <c r="F2311" s="30" t="n">
        <v>476</v>
      </c>
      <c r="G2311" s="35" t="n">
        <v>0.149685534591195</v>
      </c>
    </row>
    <row r="2312" customFormat="false" ht="15" hidden="false" customHeight="false" outlineLevel="0" collapsed="false">
      <c r="A2312" s="25" t="s">
        <v>2688</v>
      </c>
      <c r="B2312" s="25" t="s">
        <v>200</v>
      </c>
      <c r="C2312" s="29" t="s">
        <v>201</v>
      </c>
      <c r="D2312" s="29" t="n">
        <v>2</v>
      </c>
      <c r="E2312" s="31" t="n">
        <v>3166</v>
      </c>
      <c r="F2312" s="31" t="n">
        <v>475</v>
      </c>
      <c r="G2312" s="37" t="n">
        <v>0.150031585596968</v>
      </c>
    </row>
    <row r="2313" customFormat="false" ht="15" hidden="false" customHeight="false" outlineLevel="0" collapsed="false">
      <c r="A2313" s="20" t="s">
        <v>2689</v>
      </c>
      <c r="B2313" s="9" t="s">
        <v>253</v>
      </c>
      <c r="C2313" s="9" t="s">
        <v>355</v>
      </c>
      <c r="D2313" s="9" t="n">
        <v>2</v>
      </c>
      <c r="E2313" s="30" t="n">
        <v>3158</v>
      </c>
      <c r="F2313" s="30" t="n">
        <v>474</v>
      </c>
      <c r="G2313" s="35" t="n">
        <v>0.150094996833439</v>
      </c>
    </row>
    <row r="2314" customFormat="false" ht="15" hidden="false" customHeight="false" outlineLevel="0" collapsed="false">
      <c r="A2314" s="25" t="s">
        <v>2690</v>
      </c>
      <c r="B2314" s="25" t="s">
        <v>194</v>
      </c>
      <c r="C2314" s="29" t="s">
        <v>203</v>
      </c>
      <c r="D2314" s="29" t="n">
        <v>3</v>
      </c>
      <c r="E2314" s="31" t="n">
        <v>3156</v>
      </c>
      <c r="F2314" s="31" t="n">
        <v>474</v>
      </c>
      <c r="G2314" s="37" t="n">
        <v>0.150190114068441</v>
      </c>
    </row>
    <row r="2315" customFormat="false" ht="15" hidden="false" customHeight="false" outlineLevel="0" collapsed="false">
      <c r="A2315" s="20" t="s">
        <v>2691</v>
      </c>
      <c r="B2315" s="20" t="s">
        <v>200</v>
      </c>
      <c r="C2315" s="9" t="s">
        <v>201</v>
      </c>
      <c r="D2315" s="9" t="n">
        <v>2</v>
      </c>
      <c r="E2315" s="30" t="n">
        <v>3156</v>
      </c>
      <c r="F2315" s="30" t="n">
        <v>473</v>
      </c>
      <c r="G2315" s="35" t="n">
        <v>0.149873257287706</v>
      </c>
    </row>
    <row r="2316" customFormat="false" ht="15" hidden="false" customHeight="false" outlineLevel="0" collapsed="false">
      <c r="A2316" s="25" t="s">
        <v>2692</v>
      </c>
      <c r="B2316" s="29" t="s">
        <v>1262</v>
      </c>
      <c r="C2316" s="29" t="s">
        <v>428</v>
      </c>
      <c r="D2316" s="29" t="n">
        <v>2</v>
      </c>
      <c r="E2316" s="31" t="n">
        <v>3152</v>
      </c>
      <c r="F2316" s="31" t="n">
        <v>1418</v>
      </c>
      <c r="G2316" s="37" t="n">
        <v>0.449873096446701</v>
      </c>
    </row>
    <row r="2317" customFormat="false" ht="15" hidden="false" customHeight="false" outlineLevel="0" collapsed="false">
      <c r="A2317" s="20" t="s">
        <v>2693</v>
      </c>
      <c r="B2317" s="9" t="s">
        <v>253</v>
      </c>
      <c r="C2317" s="9" t="s">
        <v>428</v>
      </c>
      <c r="D2317" s="9" t="n">
        <v>8</v>
      </c>
      <c r="E2317" s="30" t="n">
        <v>3136</v>
      </c>
      <c r="F2317" s="30" t="n">
        <v>1096</v>
      </c>
      <c r="G2317" s="35" t="n">
        <v>0.349489795918367</v>
      </c>
    </row>
    <row r="2318" customFormat="false" ht="15" hidden="false" customHeight="false" outlineLevel="0" collapsed="false">
      <c r="A2318" s="25" t="s">
        <v>2694</v>
      </c>
      <c r="B2318" s="25" t="s">
        <v>200</v>
      </c>
      <c r="C2318" s="29" t="s">
        <v>1009</v>
      </c>
      <c r="D2318" s="29" t="n">
        <v>1</v>
      </c>
      <c r="E2318" s="31" t="n">
        <v>3133</v>
      </c>
      <c r="F2318" s="31" t="n">
        <v>470</v>
      </c>
      <c r="G2318" s="37" t="n">
        <v>0.15001595914459</v>
      </c>
    </row>
    <row r="2319" customFormat="false" ht="15" hidden="false" customHeight="false" outlineLevel="0" collapsed="false">
      <c r="A2319" s="20" t="s">
        <v>2695</v>
      </c>
      <c r="B2319" s="20" t="s">
        <v>194</v>
      </c>
      <c r="C2319" s="9" t="s">
        <v>334</v>
      </c>
      <c r="D2319" s="9" t="n">
        <v>4</v>
      </c>
      <c r="E2319" s="30" t="n">
        <v>3132</v>
      </c>
      <c r="F2319" s="30" t="n">
        <v>1592</v>
      </c>
      <c r="G2319" s="35" t="n">
        <v>0.508301404853129</v>
      </c>
    </row>
    <row r="2320" customFormat="false" ht="15" hidden="false" customHeight="false" outlineLevel="0" collapsed="false">
      <c r="A2320" s="25" t="s">
        <v>2696</v>
      </c>
      <c r="B2320" s="29" t="s">
        <v>216</v>
      </c>
      <c r="C2320" s="29" t="s">
        <v>223</v>
      </c>
      <c r="D2320" s="29" t="n">
        <v>2</v>
      </c>
      <c r="E2320" s="31" t="n">
        <v>3132</v>
      </c>
      <c r="F2320" s="31" t="n">
        <v>470</v>
      </c>
      <c r="G2320" s="37" t="n">
        <v>0.150063856960409</v>
      </c>
    </row>
    <row r="2321" customFormat="false" ht="15" hidden="false" customHeight="false" outlineLevel="0" collapsed="false">
      <c r="A2321" s="20" t="s">
        <v>2697</v>
      </c>
      <c r="B2321" s="20" t="s">
        <v>200</v>
      </c>
      <c r="C2321" s="9" t="s">
        <v>223</v>
      </c>
      <c r="D2321" s="9" t="n">
        <v>1</v>
      </c>
      <c r="E2321" s="30" t="n">
        <v>3128</v>
      </c>
      <c r="F2321" s="30" t="n">
        <v>469</v>
      </c>
      <c r="G2321" s="35" t="n">
        <v>0.149936061381074</v>
      </c>
    </row>
    <row r="2322" customFormat="false" ht="15" hidden="false" customHeight="false" outlineLevel="0" collapsed="false">
      <c r="A2322" s="25" t="s">
        <v>2698</v>
      </c>
      <c r="B2322" s="25" t="s">
        <v>200</v>
      </c>
      <c r="C2322" s="29" t="s">
        <v>201</v>
      </c>
      <c r="D2322" s="29" t="n">
        <v>2</v>
      </c>
      <c r="E2322" s="31" t="n">
        <v>3092</v>
      </c>
      <c r="F2322" s="31" t="n">
        <v>464</v>
      </c>
      <c r="G2322" s="37" t="n">
        <v>0.15006468305304</v>
      </c>
    </row>
    <row r="2323" customFormat="false" ht="15" hidden="false" customHeight="false" outlineLevel="0" collapsed="false">
      <c r="A2323" s="20" t="s">
        <v>2699</v>
      </c>
      <c r="B2323" s="20" t="s">
        <v>200</v>
      </c>
      <c r="C2323" s="9" t="s">
        <v>439</v>
      </c>
      <c r="D2323" s="9" t="n">
        <v>3</v>
      </c>
      <c r="E2323" s="30" t="n">
        <v>3090</v>
      </c>
      <c r="F2323" s="30" t="n">
        <v>463</v>
      </c>
      <c r="G2323" s="35" t="n">
        <v>0.149838187702265</v>
      </c>
    </row>
    <row r="2324" customFormat="false" ht="15" hidden="false" customHeight="false" outlineLevel="0" collapsed="false">
      <c r="A2324" s="25" t="s">
        <v>2700</v>
      </c>
      <c r="B2324" s="25" t="s">
        <v>194</v>
      </c>
      <c r="C2324" s="29" t="s">
        <v>203</v>
      </c>
      <c r="D2324" s="29" t="n">
        <v>1</v>
      </c>
      <c r="E2324" s="31" t="n">
        <v>3086</v>
      </c>
      <c r="F2324" s="31" t="n">
        <v>1212</v>
      </c>
      <c r="G2324" s="37" t="n">
        <v>0.392741412832145</v>
      </c>
    </row>
    <row r="2325" customFormat="false" ht="15" hidden="false" customHeight="false" outlineLevel="0" collapsed="false">
      <c r="A2325" s="20" t="s">
        <v>2701</v>
      </c>
      <c r="B2325" s="9" t="s">
        <v>253</v>
      </c>
      <c r="C2325" s="9" t="s">
        <v>254</v>
      </c>
      <c r="D2325" s="9" t="n">
        <v>5</v>
      </c>
      <c r="E2325" s="30" t="n">
        <v>3085</v>
      </c>
      <c r="F2325" s="30" t="n">
        <v>745</v>
      </c>
      <c r="G2325" s="35" t="n">
        <v>0.241491085899514</v>
      </c>
    </row>
    <row r="2326" customFormat="false" ht="15" hidden="false" customHeight="false" outlineLevel="0" collapsed="false">
      <c r="A2326" s="25" t="s">
        <v>2702</v>
      </c>
      <c r="B2326" s="25" t="s">
        <v>240</v>
      </c>
      <c r="C2326" s="29" t="s">
        <v>439</v>
      </c>
      <c r="D2326" s="29" t="n">
        <v>6</v>
      </c>
      <c r="E2326" s="31" t="n">
        <v>3060</v>
      </c>
      <c r="F2326" s="31" t="n">
        <v>636</v>
      </c>
      <c r="G2326" s="37" t="n">
        <v>0.207843137254902</v>
      </c>
    </row>
    <row r="2327" customFormat="false" ht="15" hidden="false" customHeight="false" outlineLevel="0" collapsed="false">
      <c r="A2327" s="20" t="s">
        <v>2703</v>
      </c>
      <c r="B2327" s="9" t="s">
        <v>253</v>
      </c>
      <c r="C2327" s="9" t="s">
        <v>439</v>
      </c>
      <c r="D2327" s="9" t="n">
        <v>2</v>
      </c>
      <c r="E2327" s="30" t="n">
        <v>3046</v>
      </c>
      <c r="F2327" s="30" t="n">
        <v>1082</v>
      </c>
      <c r="G2327" s="35" t="n">
        <v>0.355219960604071</v>
      </c>
    </row>
    <row r="2328" customFormat="false" ht="15" hidden="false" customHeight="false" outlineLevel="0" collapsed="false">
      <c r="A2328" s="25" t="s">
        <v>2704</v>
      </c>
      <c r="B2328" s="29" t="s">
        <v>253</v>
      </c>
      <c r="C2328" s="29" t="s">
        <v>355</v>
      </c>
      <c r="D2328" s="29" t="n">
        <v>1</v>
      </c>
      <c r="E2328" s="31" t="n">
        <v>3029</v>
      </c>
      <c r="F2328" s="31" t="n">
        <v>454</v>
      </c>
      <c r="G2328" s="37" t="n">
        <v>0.149884450313635</v>
      </c>
    </row>
    <row r="2329" customFormat="false" ht="15" hidden="false" customHeight="false" outlineLevel="0" collapsed="false">
      <c r="A2329" s="20" t="s">
        <v>2705</v>
      </c>
      <c r="B2329" s="20" t="s">
        <v>194</v>
      </c>
      <c r="C2329" s="9" t="s">
        <v>880</v>
      </c>
      <c r="D2329" s="9" t="n">
        <v>1</v>
      </c>
      <c r="E2329" s="30" t="n">
        <v>3012</v>
      </c>
      <c r="F2329" s="30" t="n">
        <v>663</v>
      </c>
      <c r="G2329" s="35" t="n">
        <v>0.220119521912351</v>
      </c>
    </row>
    <row r="2330" customFormat="false" ht="15" hidden="false" customHeight="false" outlineLevel="0" collapsed="false">
      <c r="A2330" s="25" t="s">
        <v>2706</v>
      </c>
      <c r="B2330" s="25" t="s">
        <v>194</v>
      </c>
      <c r="C2330" s="29" t="s">
        <v>197</v>
      </c>
      <c r="D2330" s="29" t="n">
        <v>1</v>
      </c>
      <c r="E2330" s="31" t="n">
        <v>3010</v>
      </c>
      <c r="F2330" s="31" t="n">
        <v>2080</v>
      </c>
      <c r="G2330" s="37" t="n">
        <v>0.691029900332226</v>
      </c>
    </row>
    <row r="2331" customFormat="false" ht="15" hidden="false" customHeight="false" outlineLevel="0" collapsed="false">
      <c r="A2331" s="20" t="s">
        <v>2707</v>
      </c>
      <c r="B2331" s="9" t="s">
        <v>2708</v>
      </c>
      <c r="C2331" s="9" t="s">
        <v>229</v>
      </c>
      <c r="D2331" s="9" t="n">
        <v>10</v>
      </c>
      <c r="E2331" s="30" t="n">
        <v>3000</v>
      </c>
      <c r="F2331" s="30" t="n">
        <v>450</v>
      </c>
      <c r="G2331" s="35" t="n">
        <v>0.15</v>
      </c>
    </row>
    <row r="2332" customFormat="false" ht="15" hidden="false" customHeight="false" outlineLevel="0" collapsed="false">
      <c r="A2332" s="25" t="s">
        <v>2709</v>
      </c>
      <c r="B2332" s="25" t="s">
        <v>200</v>
      </c>
      <c r="C2332" s="29" t="s">
        <v>201</v>
      </c>
      <c r="D2332" s="29" t="n">
        <v>2</v>
      </c>
      <c r="E2332" s="31" t="n">
        <v>2996</v>
      </c>
      <c r="F2332" s="31" t="n">
        <v>449</v>
      </c>
      <c r="G2332" s="37" t="n">
        <v>0.149866488651535</v>
      </c>
    </row>
    <row r="2333" customFormat="false" ht="15" hidden="false" customHeight="false" outlineLevel="0" collapsed="false">
      <c r="A2333" s="20" t="s">
        <v>2710</v>
      </c>
      <c r="B2333" s="20" t="s">
        <v>194</v>
      </c>
      <c r="C2333" s="9" t="s">
        <v>368</v>
      </c>
      <c r="D2333" s="9" t="n">
        <v>1</v>
      </c>
      <c r="E2333" s="30" t="n">
        <v>2988</v>
      </c>
      <c r="F2333" s="30" t="n">
        <v>2598</v>
      </c>
      <c r="G2333" s="35" t="n">
        <v>0.869477911646586</v>
      </c>
    </row>
    <row r="2334" customFormat="false" ht="15" hidden="false" customHeight="false" outlineLevel="0" collapsed="false">
      <c r="A2334" s="25" t="s">
        <v>2711</v>
      </c>
      <c r="B2334" s="29" t="s">
        <v>216</v>
      </c>
      <c r="C2334" s="29" t="s">
        <v>428</v>
      </c>
      <c r="D2334" s="29" t="n">
        <v>2</v>
      </c>
      <c r="E2334" s="31" t="n">
        <v>2988</v>
      </c>
      <c r="F2334" s="31" t="n">
        <v>1068</v>
      </c>
      <c r="G2334" s="37" t="n">
        <v>0.357429718875502</v>
      </c>
    </row>
    <row r="2335" customFormat="false" ht="15" hidden="false" customHeight="false" outlineLevel="0" collapsed="false">
      <c r="A2335" s="20" t="s">
        <v>2712</v>
      </c>
      <c r="B2335" s="9" t="s">
        <v>253</v>
      </c>
      <c r="C2335" s="9" t="s">
        <v>428</v>
      </c>
      <c r="D2335" s="9" t="n">
        <v>1</v>
      </c>
      <c r="E2335" s="30" t="n">
        <v>2977</v>
      </c>
      <c r="F2335" s="30" t="n">
        <v>1685</v>
      </c>
      <c r="G2335" s="35" t="n">
        <v>0.566006046355391</v>
      </c>
    </row>
    <row r="2336" customFormat="false" ht="15" hidden="false" customHeight="false" outlineLevel="0" collapsed="false">
      <c r="A2336" s="25" t="s">
        <v>2713</v>
      </c>
      <c r="B2336" s="29" t="s">
        <v>281</v>
      </c>
      <c r="C2336" s="29" t="s">
        <v>203</v>
      </c>
      <c r="D2336" s="29" t="n">
        <v>3</v>
      </c>
      <c r="E2336" s="31" t="n">
        <v>2969</v>
      </c>
      <c r="F2336" s="31" t="n">
        <v>1523</v>
      </c>
      <c r="G2336" s="37" t="n">
        <v>0.512967329067026</v>
      </c>
    </row>
    <row r="2337" customFormat="false" ht="15" hidden="false" customHeight="false" outlineLevel="0" collapsed="false">
      <c r="A2337" s="20" t="s">
        <v>2714</v>
      </c>
      <c r="B2337" s="20" t="s">
        <v>2330</v>
      </c>
      <c r="C2337" s="9" t="s">
        <v>428</v>
      </c>
      <c r="D2337" s="9" t="n">
        <v>1</v>
      </c>
      <c r="E2337" s="30" t="n">
        <v>2966</v>
      </c>
      <c r="F2337" s="30" t="n">
        <v>445</v>
      </c>
      <c r="G2337" s="35" t="n">
        <v>0.150033715441672</v>
      </c>
    </row>
    <row r="2338" customFormat="false" ht="15" hidden="false" customHeight="false" outlineLevel="0" collapsed="false">
      <c r="A2338" s="25" t="s">
        <v>2715</v>
      </c>
      <c r="B2338" s="25" t="s">
        <v>194</v>
      </c>
      <c r="C2338" s="29" t="s">
        <v>391</v>
      </c>
      <c r="D2338" s="29" t="n">
        <v>1</v>
      </c>
      <c r="E2338" s="31" t="n">
        <v>2953</v>
      </c>
      <c r="F2338" s="31" t="n">
        <v>443</v>
      </c>
      <c r="G2338" s="37" t="n">
        <v>0.150016931933627</v>
      </c>
    </row>
    <row r="2339" customFormat="false" ht="15" hidden="false" customHeight="false" outlineLevel="0" collapsed="false">
      <c r="A2339" s="20" t="s">
        <v>2716</v>
      </c>
      <c r="B2339" s="9" t="s">
        <v>216</v>
      </c>
      <c r="C2339" s="9" t="s">
        <v>297</v>
      </c>
      <c r="D2339" s="9" t="n">
        <v>1</v>
      </c>
      <c r="E2339" s="30" t="n">
        <v>2950</v>
      </c>
      <c r="F2339" s="30" t="n">
        <v>1785</v>
      </c>
      <c r="G2339" s="35" t="n">
        <v>0.605084745762712</v>
      </c>
    </row>
    <row r="2340" customFormat="false" ht="15" hidden="false" customHeight="false" outlineLevel="0" collapsed="false">
      <c r="A2340" s="25" t="s">
        <v>2717</v>
      </c>
      <c r="B2340" s="29" t="s">
        <v>253</v>
      </c>
      <c r="C2340" s="29" t="s">
        <v>428</v>
      </c>
      <c r="D2340" s="29" t="n">
        <v>6</v>
      </c>
      <c r="E2340" s="31" t="n">
        <v>2940</v>
      </c>
      <c r="F2340" s="31" t="n">
        <v>300</v>
      </c>
      <c r="G2340" s="37" t="n">
        <v>0.102040816326531</v>
      </c>
    </row>
    <row r="2341" customFormat="false" ht="15" hidden="false" customHeight="false" outlineLevel="0" collapsed="false">
      <c r="A2341" s="20" t="s">
        <v>2718</v>
      </c>
      <c r="B2341" s="20" t="s">
        <v>194</v>
      </c>
      <c r="C2341" s="9" t="s">
        <v>203</v>
      </c>
      <c r="D2341" s="9" t="n">
        <v>1</v>
      </c>
      <c r="E2341" s="30" t="n">
        <v>2940</v>
      </c>
      <c r="F2341" s="30" t="n">
        <v>2681</v>
      </c>
      <c r="G2341" s="35" t="n">
        <v>0.911904761904762</v>
      </c>
    </row>
    <row r="2342" customFormat="false" ht="15" hidden="false" customHeight="false" outlineLevel="0" collapsed="false">
      <c r="A2342" s="25" t="s">
        <v>2719</v>
      </c>
      <c r="B2342" s="25" t="s">
        <v>2476</v>
      </c>
      <c r="C2342" s="29" t="s">
        <v>316</v>
      </c>
      <c r="D2342" s="29" t="n">
        <v>31</v>
      </c>
      <c r="E2342" s="31" t="n">
        <v>2914</v>
      </c>
      <c r="F2342" s="31" t="n">
        <v>437</v>
      </c>
      <c r="G2342" s="37" t="n">
        <v>0.149965682910089</v>
      </c>
    </row>
    <row r="2343" customFormat="false" ht="15" hidden="false" customHeight="false" outlineLevel="0" collapsed="false">
      <c r="A2343" s="20" t="s">
        <v>2720</v>
      </c>
      <c r="B2343" s="9" t="s">
        <v>253</v>
      </c>
      <c r="C2343" s="9" t="s">
        <v>428</v>
      </c>
      <c r="D2343" s="9" t="n">
        <v>1</v>
      </c>
      <c r="E2343" s="30" t="n">
        <v>2907</v>
      </c>
      <c r="F2343" s="30" t="n">
        <v>523</v>
      </c>
      <c r="G2343" s="35" t="n">
        <v>0.179910560715514</v>
      </c>
    </row>
    <row r="2344" customFormat="false" ht="15" hidden="false" customHeight="false" outlineLevel="0" collapsed="false">
      <c r="A2344" s="25" t="s">
        <v>2721</v>
      </c>
      <c r="B2344" s="25" t="s">
        <v>240</v>
      </c>
      <c r="C2344" s="29" t="s">
        <v>223</v>
      </c>
      <c r="D2344" s="29" t="n">
        <v>1</v>
      </c>
      <c r="E2344" s="31" t="n">
        <v>2905</v>
      </c>
      <c r="F2344" s="31" t="n">
        <v>436</v>
      </c>
      <c r="G2344" s="37" t="n">
        <v>0.150086058519793</v>
      </c>
    </row>
    <row r="2345" customFormat="false" ht="15" hidden="false" customHeight="false" outlineLevel="0" collapsed="false">
      <c r="A2345" s="20" t="s">
        <v>2722</v>
      </c>
      <c r="B2345" s="9" t="s">
        <v>1262</v>
      </c>
      <c r="C2345" s="9" t="s">
        <v>428</v>
      </c>
      <c r="D2345" s="9" t="n">
        <v>2</v>
      </c>
      <c r="E2345" s="30" t="n">
        <v>2884</v>
      </c>
      <c r="F2345" s="30" t="n">
        <v>894</v>
      </c>
      <c r="G2345" s="35" t="n">
        <v>0.30998613037448</v>
      </c>
    </row>
    <row r="2346" customFormat="false" ht="15" hidden="false" customHeight="false" outlineLevel="0" collapsed="false">
      <c r="A2346" s="25" t="s">
        <v>2723</v>
      </c>
      <c r="B2346" s="29" t="s">
        <v>2724</v>
      </c>
      <c r="C2346" s="29" t="s">
        <v>229</v>
      </c>
      <c r="D2346" s="29" t="n">
        <v>10</v>
      </c>
      <c r="E2346" s="31" t="n">
        <v>2880</v>
      </c>
      <c r="F2346" s="31" t="n">
        <v>432</v>
      </c>
      <c r="G2346" s="37" t="n">
        <v>0.15</v>
      </c>
    </row>
    <row r="2347" customFormat="false" ht="15" hidden="false" customHeight="false" outlineLevel="0" collapsed="false">
      <c r="A2347" s="20" t="s">
        <v>2725</v>
      </c>
      <c r="B2347" s="20" t="s">
        <v>194</v>
      </c>
      <c r="C2347" s="9" t="s">
        <v>380</v>
      </c>
      <c r="D2347" s="9" t="n">
        <v>1</v>
      </c>
      <c r="E2347" s="30" t="n">
        <v>2880</v>
      </c>
      <c r="F2347" s="30" t="n">
        <v>432</v>
      </c>
      <c r="G2347" s="35" t="n">
        <v>0.15</v>
      </c>
    </row>
    <row r="2348" customFormat="false" ht="15" hidden="false" customHeight="false" outlineLevel="0" collapsed="false">
      <c r="A2348" s="25" t="s">
        <v>2726</v>
      </c>
      <c r="B2348" s="25" t="s">
        <v>220</v>
      </c>
      <c r="C2348" s="29" t="s">
        <v>217</v>
      </c>
      <c r="D2348" s="29" t="n">
        <v>1</v>
      </c>
      <c r="E2348" s="31" t="n">
        <v>2862</v>
      </c>
      <c r="F2348" s="31" t="n">
        <v>429</v>
      </c>
      <c r="G2348" s="37" t="n">
        <v>0.149895178197065</v>
      </c>
    </row>
    <row r="2349" customFormat="false" ht="15" hidden="false" customHeight="false" outlineLevel="0" collapsed="false">
      <c r="A2349" s="20" t="s">
        <v>2727</v>
      </c>
      <c r="B2349" s="20" t="s">
        <v>194</v>
      </c>
      <c r="C2349" s="9" t="s">
        <v>223</v>
      </c>
      <c r="D2349" s="9" t="n">
        <v>1</v>
      </c>
      <c r="E2349" s="30" t="n">
        <v>2861</v>
      </c>
      <c r="F2349" s="30" t="n">
        <v>429</v>
      </c>
      <c r="G2349" s="35" t="n">
        <v>0.149947570779448</v>
      </c>
    </row>
    <row r="2350" customFormat="false" ht="15" hidden="false" customHeight="false" outlineLevel="0" collapsed="false">
      <c r="A2350" s="25" t="s">
        <v>2728</v>
      </c>
      <c r="B2350" s="29" t="s">
        <v>281</v>
      </c>
      <c r="C2350" s="29" t="s">
        <v>197</v>
      </c>
      <c r="D2350" s="29" t="n">
        <v>2</v>
      </c>
      <c r="E2350" s="31" t="n">
        <v>2858</v>
      </c>
      <c r="F2350" s="31" t="n">
        <v>658</v>
      </c>
      <c r="G2350" s="37" t="n">
        <v>0.230230930720784</v>
      </c>
    </row>
    <row r="2351" customFormat="false" ht="15" hidden="false" customHeight="false" outlineLevel="0" collapsed="false">
      <c r="A2351" s="20" t="s">
        <v>2729</v>
      </c>
      <c r="B2351" s="20" t="s">
        <v>240</v>
      </c>
      <c r="C2351" s="9" t="s">
        <v>229</v>
      </c>
      <c r="D2351" s="9" t="n">
        <v>2</v>
      </c>
      <c r="E2351" s="30" t="n">
        <v>2858</v>
      </c>
      <c r="F2351" s="30" t="n">
        <v>954</v>
      </c>
      <c r="G2351" s="35" t="n">
        <v>0.333799860041987</v>
      </c>
    </row>
    <row r="2352" customFormat="false" ht="15" hidden="false" customHeight="false" outlineLevel="0" collapsed="false">
      <c r="A2352" s="25" t="s">
        <v>2730</v>
      </c>
      <c r="B2352" s="25" t="s">
        <v>194</v>
      </c>
      <c r="C2352" s="29" t="s">
        <v>197</v>
      </c>
      <c r="D2352" s="29" t="n">
        <v>1</v>
      </c>
      <c r="E2352" s="31" t="n">
        <v>2857</v>
      </c>
      <c r="F2352" s="31" t="n">
        <v>857</v>
      </c>
      <c r="G2352" s="37" t="n">
        <v>0.299964998249913</v>
      </c>
    </row>
    <row r="2353" customFormat="false" ht="15" hidden="false" customHeight="false" outlineLevel="0" collapsed="false">
      <c r="A2353" s="20" t="s">
        <v>2731</v>
      </c>
      <c r="B2353" s="20" t="s">
        <v>194</v>
      </c>
      <c r="C2353" s="9" t="s">
        <v>439</v>
      </c>
      <c r="D2353" s="9" t="n">
        <v>2</v>
      </c>
      <c r="E2353" s="30" t="n">
        <v>2846</v>
      </c>
      <c r="F2353" s="30" t="n">
        <v>426</v>
      </c>
      <c r="G2353" s="35" t="n">
        <v>0.149683766690091</v>
      </c>
    </row>
    <row r="2354" customFormat="false" ht="15" hidden="false" customHeight="false" outlineLevel="0" collapsed="false">
      <c r="A2354" s="25" t="s">
        <v>2732</v>
      </c>
      <c r="B2354" s="25" t="s">
        <v>194</v>
      </c>
      <c r="C2354" s="29" t="s">
        <v>203</v>
      </c>
      <c r="D2354" s="29" t="n">
        <v>1</v>
      </c>
      <c r="E2354" s="31" t="n">
        <v>2841</v>
      </c>
      <c r="F2354" s="31" t="n">
        <v>183</v>
      </c>
      <c r="G2354" s="37" t="n">
        <v>0.0644139387539598</v>
      </c>
    </row>
    <row r="2355" customFormat="false" ht="15" hidden="false" customHeight="false" outlineLevel="0" collapsed="false">
      <c r="A2355" s="20" t="s">
        <v>2733</v>
      </c>
      <c r="B2355" s="9" t="s">
        <v>253</v>
      </c>
      <c r="C2355" s="9" t="s">
        <v>428</v>
      </c>
      <c r="D2355" s="9" t="n">
        <v>2</v>
      </c>
      <c r="E2355" s="30" t="n">
        <v>2840</v>
      </c>
      <c r="F2355" s="30" t="n">
        <v>362</v>
      </c>
      <c r="G2355" s="35" t="n">
        <v>0.127464788732394</v>
      </c>
    </row>
    <row r="2356" customFormat="false" ht="15" hidden="false" customHeight="false" outlineLevel="0" collapsed="false">
      <c r="A2356" s="25" t="s">
        <v>2734</v>
      </c>
      <c r="B2356" s="25" t="s">
        <v>194</v>
      </c>
      <c r="C2356" s="29" t="s">
        <v>485</v>
      </c>
      <c r="D2356" s="29" t="n">
        <v>2</v>
      </c>
      <c r="E2356" s="31" t="n">
        <v>2832</v>
      </c>
      <c r="F2356" s="31" t="n">
        <v>1892</v>
      </c>
      <c r="G2356" s="37" t="n">
        <v>0.668079096045198</v>
      </c>
    </row>
    <row r="2357" customFormat="false" ht="15" hidden="false" customHeight="false" outlineLevel="0" collapsed="false">
      <c r="A2357" s="20" t="s">
        <v>2735</v>
      </c>
      <c r="B2357" s="9" t="s">
        <v>2736</v>
      </c>
      <c r="C2357" s="9" t="s">
        <v>768</v>
      </c>
      <c r="D2357" s="9" t="n">
        <v>2</v>
      </c>
      <c r="E2357" s="30" t="n">
        <v>2832</v>
      </c>
      <c r="F2357" s="30" t="n">
        <v>1656</v>
      </c>
      <c r="G2357" s="35" t="n">
        <v>0.584745762711864</v>
      </c>
    </row>
    <row r="2358" customFormat="false" ht="15" hidden="false" customHeight="false" outlineLevel="0" collapsed="false">
      <c r="A2358" s="25" t="s">
        <v>2737</v>
      </c>
      <c r="B2358" s="25" t="s">
        <v>240</v>
      </c>
      <c r="C2358" s="29" t="s">
        <v>297</v>
      </c>
      <c r="D2358" s="29" t="n">
        <v>2</v>
      </c>
      <c r="E2358" s="31" t="n">
        <v>2826</v>
      </c>
      <c r="F2358" s="31" t="n">
        <v>424</v>
      </c>
      <c r="G2358" s="37" t="n">
        <v>0.150035385704176</v>
      </c>
    </row>
    <row r="2359" customFormat="false" ht="15" hidden="false" customHeight="false" outlineLevel="0" collapsed="false">
      <c r="A2359" s="20" t="s">
        <v>2738</v>
      </c>
      <c r="B2359" s="20" t="s">
        <v>200</v>
      </c>
      <c r="C2359" s="9" t="s">
        <v>201</v>
      </c>
      <c r="D2359" s="9" t="n">
        <v>2</v>
      </c>
      <c r="E2359" s="30" t="n">
        <v>2814</v>
      </c>
      <c r="F2359" s="30" t="n">
        <v>422</v>
      </c>
      <c r="G2359" s="35" t="n">
        <v>0.149964463397299</v>
      </c>
    </row>
    <row r="2360" customFormat="false" ht="15" hidden="false" customHeight="false" outlineLevel="0" collapsed="false">
      <c r="A2360" s="25" t="s">
        <v>2739</v>
      </c>
      <c r="B2360" s="29" t="s">
        <v>281</v>
      </c>
      <c r="C2360" s="29" t="s">
        <v>231</v>
      </c>
      <c r="D2360" s="29" t="n">
        <v>2</v>
      </c>
      <c r="E2360" s="31" t="n">
        <v>2806</v>
      </c>
      <c r="F2360" s="31" t="n">
        <v>420</v>
      </c>
      <c r="G2360" s="37" t="n">
        <v>0.14967925873129</v>
      </c>
    </row>
    <row r="2361" customFormat="false" ht="15" hidden="false" customHeight="false" outlineLevel="0" collapsed="false">
      <c r="A2361" s="20" t="s">
        <v>2740</v>
      </c>
      <c r="B2361" s="20" t="s">
        <v>200</v>
      </c>
      <c r="C2361" s="9" t="s">
        <v>201</v>
      </c>
      <c r="D2361" s="9" t="n">
        <v>2</v>
      </c>
      <c r="E2361" s="30" t="n">
        <v>2804</v>
      </c>
      <c r="F2361" s="30" t="n">
        <v>421</v>
      </c>
      <c r="G2361" s="35" t="n">
        <v>0.150142653352354</v>
      </c>
    </row>
    <row r="2362" customFormat="false" ht="15" hidden="false" customHeight="false" outlineLevel="0" collapsed="false">
      <c r="A2362" s="25" t="s">
        <v>2741</v>
      </c>
      <c r="B2362" s="25" t="s">
        <v>194</v>
      </c>
      <c r="C2362" s="29" t="s">
        <v>297</v>
      </c>
      <c r="D2362" s="29" t="n">
        <v>1</v>
      </c>
      <c r="E2362" s="31" t="n">
        <v>2798</v>
      </c>
      <c r="F2362" s="31" t="n">
        <v>420</v>
      </c>
      <c r="G2362" s="37" t="n">
        <v>0.150107219442459</v>
      </c>
    </row>
    <row r="2363" customFormat="false" ht="15" hidden="false" customHeight="false" outlineLevel="0" collapsed="false">
      <c r="A2363" s="20" t="s">
        <v>2742</v>
      </c>
      <c r="B2363" s="20" t="s">
        <v>240</v>
      </c>
      <c r="C2363" s="9" t="s">
        <v>203</v>
      </c>
      <c r="D2363" s="9" t="n">
        <v>1</v>
      </c>
      <c r="E2363" s="30" t="n">
        <v>2795</v>
      </c>
      <c r="F2363" s="30" t="n">
        <v>2135</v>
      </c>
      <c r="G2363" s="35" t="n">
        <v>0.76386404293381</v>
      </c>
    </row>
    <row r="2364" customFormat="false" ht="15" hidden="false" customHeight="false" outlineLevel="0" collapsed="false">
      <c r="A2364" s="25" t="s">
        <v>2743</v>
      </c>
      <c r="B2364" s="29" t="s">
        <v>216</v>
      </c>
      <c r="C2364" s="29" t="s">
        <v>927</v>
      </c>
      <c r="D2364" s="29" t="n">
        <v>3</v>
      </c>
      <c r="E2364" s="31" t="n">
        <v>2778</v>
      </c>
      <c r="F2364" s="31" t="n">
        <v>417</v>
      </c>
      <c r="G2364" s="37" t="n">
        <v>0.150107991360691</v>
      </c>
    </row>
    <row r="2365" customFormat="false" ht="15" hidden="false" customHeight="false" outlineLevel="0" collapsed="false">
      <c r="A2365" s="20" t="s">
        <v>2744</v>
      </c>
      <c r="B2365" s="20" t="s">
        <v>194</v>
      </c>
      <c r="C2365" s="9" t="s">
        <v>203</v>
      </c>
      <c r="D2365" s="9" t="n">
        <v>4</v>
      </c>
      <c r="E2365" s="30" t="n">
        <v>2760</v>
      </c>
      <c r="F2365" s="30" t="n">
        <v>268</v>
      </c>
      <c r="G2365" s="35" t="n">
        <v>0.0971014492753623</v>
      </c>
    </row>
    <row r="2366" customFormat="false" ht="15" hidden="false" customHeight="false" outlineLevel="0" collapsed="false">
      <c r="A2366" s="25" t="s">
        <v>2745</v>
      </c>
      <c r="B2366" s="25" t="s">
        <v>194</v>
      </c>
      <c r="C2366" s="29" t="s">
        <v>203</v>
      </c>
      <c r="D2366" s="29" t="n">
        <v>4</v>
      </c>
      <c r="E2366" s="31" t="n">
        <v>2760</v>
      </c>
      <c r="F2366" s="31" t="n">
        <v>628</v>
      </c>
      <c r="G2366" s="37" t="n">
        <v>0.227536231884058</v>
      </c>
    </row>
    <row r="2367" customFormat="false" ht="15" hidden="false" customHeight="false" outlineLevel="0" collapsed="false">
      <c r="A2367" s="20" t="s">
        <v>2746</v>
      </c>
      <c r="B2367" s="20" t="s">
        <v>200</v>
      </c>
      <c r="C2367" s="9" t="s">
        <v>201</v>
      </c>
      <c r="D2367" s="9" t="n">
        <v>2</v>
      </c>
      <c r="E2367" s="30" t="n">
        <v>2760</v>
      </c>
      <c r="F2367" s="30" t="n">
        <v>414</v>
      </c>
      <c r="G2367" s="35" t="n">
        <v>0.15</v>
      </c>
    </row>
    <row r="2368" customFormat="false" ht="15" hidden="false" customHeight="false" outlineLevel="0" collapsed="false">
      <c r="A2368" s="25" t="s">
        <v>2747</v>
      </c>
      <c r="B2368" s="29" t="s">
        <v>2748</v>
      </c>
      <c r="C2368" s="29" t="s">
        <v>229</v>
      </c>
      <c r="D2368" s="29" t="n">
        <v>50</v>
      </c>
      <c r="E2368" s="31" t="n">
        <v>2750</v>
      </c>
      <c r="F2368" s="31" t="n">
        <v>412</v>
      </c>
      <c r="G2368" s="37" t="n">
        <v>0.149818181818182</v>
      </c>
    </row>
    <row r="2369" customFormat="false" ht="15" hidden="false" customHeight="false" outlineLevel="0" collapsed="false">
      <c r="A2369" s="20" t="s">
        <v>2749</v>
      </c>
      <c r="B2369" s="20" t="s">
        <v>194</v>
      </c>
      <c r="C2369" s="9" t="s">
        <v>380</v>
      </c>
      <c r="D2369" s="9" t="n">
        <v>2</v>
      </c>
      <c r="E2369" s="30" t="n">
        <v>2750</v>
      </c>
      <c r="F2369" s="30" t="n">
        <v>412</v>
      </c>
      <c r="G2369" s="35" t="n">
        <v>0.149818181818182</v>
      </c>
    </row>
    <row r="2370" customFormat="false" ht="15" hidden="false" customHeight="false" outlineLevel="0" collapsed="false">
      <c r="A2370" s="25" t="s">
        <v>2750</v>
      </c>
      <c r="B2370" s="25" t="s">
        <v>194</v>
      </c>
      <c r="C2370" s="29" t="s">
        <v>206</v>
      </c>
      <c r="D2370" s="29" t="n">
        <v>1</v>
      </c>
      <c r="E2370" s="31" t="n">
        <v>2745</v>
      </c>
      <c r="F2370" s="31" t="n">
        <v>412</v>
      </c>
      <c r="G2370" s="37" t="n">
        <v>0.150091074681239</v>
      </c>
    </row>
    <row r="2371" customFormat="false" ht="15" hidden="false" customHeight="false" outlineLevel="0" collapsed="false">
      <c r="A2371" s="20" t="s">
        <v>2751</v>
      </c>
      <c r="B2371" s="20" t="s">
        <v>194</v>
      </c>
      <c r="C2371" s="9" t="s">
        <v>2160</v>
      </c>
      <c r="D2371" s="9" t="n">
        <v>5</v>
      </c>
      <c r="E2371" s="30" t="n">
        <v>2740</v>
      </c>
      <c r="F2371" s="30" t="n">
        <v>411</v>
      </c>
      <c r="G2371" s="35" t="n">
        <v>0.15</v>
      </c>
    </row>
    <row r="2372" customFormat="false" ht="15" hidden="false" customHeight="false" outlineLevel="0" collapsed="false">
      <c r="A2372" s="25" t="s">
        <v>2752</v>
      </c>
      <c r="B2372" s="25" t="s">
        <v>240</v>
      </c>
      <c r="C2372" s="29" t="s">
        <v>223</v>
      </c>
      <c r="D2372" s="29" t="n">
        <v>2</v>
      </c>
      <c r="E2372" s="31" t="n">
        <v>2740</v>
      </c>
      <c r="F2372" s="31" t="n">
        <v>410</v>
      </c>
      <c r="G2372" s="37" t="n">
        <v>0.14963503649635</v>
      </c>
    </row>
    <row r="2373" customFormat="false" ht="15" hidden="false" customHeight="false" outlineLevel="0" collapsed="false">
      <c r="A2373" s="20" t="s">
        <v>2753</v>
      </c>
      <c r="B2373" s="20" t="s">
        <v>2754</v>
      </c>
      <c r="C2373" s="9" t="s">
        <v>428</v>
      </c>
      <c r="D2373" s="9" t="n">
        <v>1</v>
      </c>
      <c r="E2373" s="30" t="n">
        <v>2730</v>
      </c>
      <c r="F2373" s="30" t="n">
        <v>1246</v>
      </c>
      <c r="G2373" s="35" t="n">
        <v>0.456410256410256</v>
      </c>
    </row>
    <row r="2374" customFormat="false" ht="15" hidden="false" customHeight="false" outlineLevel="0" collapsed="false">
      <c r="A2374" s="25" t="s">
        <v>2755</v>
      </c>
      <c r="B2374" s="25" t="s">
        <v>194</v>
      </c>
      <c r="C2374" s="29" t="s">
        <v>203</v>
      </c>
      <c r="D2374" s="29" t="n">
        <v>4</v>
      </c>
      <c r="E2374" s="31" t="n">
        <v>2720</v>
      </c>
      <c r="F2374" s="31" t="n">
        <v>-120</v>
      </c>
      <c r="G2374" s="37" t="n">
        <v>-0.0441176470588235</v>
      </c>
    </row>
    <row r="2375" customFormat="false" ht="15" hidden="false" customHeight="false" outlineLevel="0" collapsed="false">
      <c r="A2375" s="20" t="s">
        <v>2756</v>
      </c>
      <c r="B2375" s="20" t="s">
        <v>194</v>
      </c>
      <c r="C2375" s="9" t="s">
        <v>1020</v>
      </c>
      <c r="D2375" s="9" t="n">
        <v>5</v>
      </c>
      <c r="E2375" s="30" t="n">
        <v>2715</v>
      </c>
      <c r="F2375" s="30" t="n">
        <v>405</v>
      </c>
      <c r="G2375" s="35" t="n">
        <v>0.149171270718232</v>
      </c>
    </row>
    <row r="2376" customFormat="false" ht="15" hidden="false" customHeight="false" outlineLevel="0" collapsed="false">
      <c r="A2376" s="25" t="s">
        <v>2757</v>
      </c>
      <c r="B2376" s="25" t="s">
        <v>194</v>
      </c>
      <c r="C2376" s="29" t="s">
        <v>368</v>
      </c>
      <c r="D2376" s="29" t="n">
        <v>2</v>
      </c>
      <c r="E2376" s="31" t="n">
        <v>2708</v>
      </c>
      <c r="F2376" s="31" t="n">
        <v>406</v>
      </c>
      <c r="G2376" s="37" t="n">
        <v>0.149926144756278</v>
      </c>
    </row>
    <row r="2377" customFormat="false" ht="15" hidden="false" customHeight="false" outlineLevel="0" collapsed="false">
      <c r="A2377" s="20" t="s">
        <v>2758</v>
      </c>
      <c r="B2377" s="20" t="s">
        <v>200</v>
      </c>
      <c r="C2377" s="9" t="s">
        <v>223</v>
      </c>
      <c r="D2377" s="9" t="n">
        <v>4</v>
      </c>
      <c r="E2377" s="30" t="n">
        <v>2704</v>
      </c>
      <c r="F2377" s="30" t="n">
        <v>404</v>
      </c>
      <c r="G2377" s="35" t="n">
        <v>0.149408284023669</v>
      </c>
    </row>
    <row r="2378" customFormat="false" ht="15" hidden="false" customHeight="false" outlineLevel="0" collapsed="false">
      <c r="A2378" s="25" t="s">
        <v>2759</v>
      </c>
      <c r="B2378" s="29" t="s">
        <v>253</v>
      </c>
      <c r="C2378" s="29" t="s">
        <v>428</v>
      </c>
      <c r="D2378" s="29" t="n">
        <v>25</v>
      </c>
      <c r="E2378" s="31" t="n">
        <v>2700</v>
      </c>
      <c r="F2378" s="31" t="n">
        <v>675</v>
      </c>
      <c r="G2378" s="37" t="n">
        <v>0.25</v>
      </c>
    </row>
    <row r="2379" customFormat="false" ht="15" hidden="false" customHeight="false" outlineLevel="0" collapsed="false">
      <c r="A2379" s="20" t="s">
        <v>2760</v>
      </c>
      <c r="B2379" s="9" t="s">
        <v>253</v>
      </c>
      <c r="C2379" s="9" t="s">
        <v>428</v>
      </c>
      <c r="D2379" s="9" t="n">
        <v>2</v>
      </c>
      <c r="E2379" s="30" t="n">
        <v>2696</v>
      </c>
      <c r="F2379" s="30" t="n">
        <v>1360</v>
      </c>
      <c r="G2379" s="35" t="n">
        <v>0.504451038575668</v>
      </c>
    </row>
    <row r="2380" customFormat="false" ht="15" hidden="false" customHeight="false" outlineLevel="0" collapsed="false">
      <c r="A2380" s="25" t="s">
        <v>2761</v>
      </c>
      <c r="B2380" s="25" t="s">
        <v>194</v>
      </c>
      <c r="C2380" s="29" t="s">
        <v>217</v>
      </c>
      <c r="D2380" s="29" t="n">
        <v>5</v>
      </c>
      <c r="E2380" s="31" t="n">
        <v>2695</v>
      </c>
      <c r="F2380" s="31" t="n">
        <v>1300</v>
      </c>
      <c r="G2380" s="37" t="n">
        <v>0.482374768089054</v>
      </c>
    </row>
    <row r="2381" customFormat="false" ht="15" hidden="false" customHeight="false" outlineLevel="0" collapsed="false">
      <c r="A2381" s="20" t="s">
        <v>2762</v>
      </c>
      <c r="B2381" s="20" t="s">
        <v>200</v>
      </c>
      <c r="C2381" s="9" t="s">
        <v>2151</v>
      </c>
      <c r="D2381" s="9" t="n">
        <v>1</v>
      </c>
      <c r="E2381" s="30" t="n">
        <v>2691</v>
      </c>
      <c r="F2381" s="30" t="n">
        <v>404</v>
      </c>
      <c r="G2381" s="35" t="n">
        <v>0.150130063173541</v>
      </c>
    </row>
    <row r="2382" customFormat="false" ht="15" hidden="false" customHeight="false" outlineLevel="0" collapsed="false">
      <c r="A2382" s="25" t="s">
        <v>2763</v>
      </c>
      <c r="B2382" s="25" t="s">
        <v>194</v>
      </c>
      <c r="C2382" s="29" t="s">
        <v>768</v>
      </c>
      <c r="D2382" s="29" t="n">
        <v>1</v>
      </c>
      <c r="E2382" s="31" t="n">
        <v>2685</v>
      </c>
      <c r="F2382" s="31" t="n">
        <v>403</v>
      </c>
      <c r="G2382" s="37" t="n">
        <v>0.150093109869646</v>
      </c>
    </row>
    <row r="2383" customFormat="false" ht="15" hidden="false" customHeight="false" outlineLevel="0" collapsed="false">
      <c r="A2383" s="20" t="s">
        <v>2764</v>
      </c>
      <c r="B2383" s="9" t="s">
        <v>216</v>
      </c>
      <c r="C2383" s="9" t="s">
        <v>223</v>
      </c>
      <c r="D2383" s="9" t="n">
        <v>3</v>
      </c>
      <c r="E2383" s="30" t="n">
        <v>2682</v>
      </c>
      <c r="F2383" s="30" t="n">
        <v>123</v>
      </c>
      <c r="G2383" s="35" t="n">
        <v>0.0458612975391498</v>
      </c>
    </row>
    <row r="2384" customFormat="false" ht="15" hidden="false" customHeight="false" outlineLevel="0" collapsed="false">
      <c r="A2384" s="25" t="s">
        <v>2765</v>
      </c>
      <c r="B2384" s="25" t="s">
        <v>891</v>
      </c>
      <c r="C2384" s="29" t="s">
        <v>223</v>
      </c>
      <c r="D2384" s="29" t="n">
        <v>21</v>
      </c>
      <c r="E2384" s="31" t="n">
        <v>2681</v>
      </c>
      <c r="F2384" s="31" t="n">
        <v>401</v>
      </c>
      <c r="G2384" s="37" t="n">
        <v>0.149571055576278</v>
      </c>
    </row>
    <row r="2385" customFormat="false" ht="15" hidden="false" customHeight="false" outlineLevel="0" collapsed="false">
      <c r="A2385" s="20" t="s">
        <v>2766</v>
      </c>
      <c r="B2385" s="20" t="s">
        <v>194</v>
      </c>
      <c r="C2385" s="9" t="s">
        <v>203</v>
      </c>
      <c r="D2385" s="9" t="n">
        <v>4</v>
      </c>
      <c r="E2385" s="30" t="n">
        <v>2680</v>
      </c>
      <c r="F2385" s="30" t="n">
        <v>402</v>
      </c>
      <c r="G2385" s="35" t="n">
        <v>0.15</v>
      </c>
    </row>
    <row r="2386" customFormat="false" ht="15" hidden="false" customHeight="false" outlineLevel="0" collapsed="false">
      <c r="A2386" s="25" t="s">
        <v>2767</v>
      </c>
      <c r="B2386" s="25" t="s">
        <v>220</v>
      </c>
      <c r="C2386" s="29" t="s">
        <v>217</v>
      </c>
      <c r="D2386" s="29" t="n">
        <v>1</v>
      </c>
      <c r="E2386" s="31" t="n">
        <v>2673</v>
      </c>
      <c r="F2386" s="31" t="n">
        <v>401</v>
      </c>
      <c r="G2386" s="37" t="n">
        <v>0.150018705574261</v>
      </c>
    </row>
    <row r="2387" customFormat="false" ht="15" hidden="false" customHeight="false" outlineLevel="0" collapsed="false">
      <c r="A2387" s="20" t="s">
        <v>2768</v>
      </c>
      <c r="B2387" s="9" t="s">
        <v>216</v>
      </c>
      <c r="C2387" s="9" t="s">
        <v>428</v>
      </c>
      <c r="D2387" s="9" t="n">
        <v>1</v>
      </c>
      <c r="E2387" s="30" t="n">
        <v>2655</v>
      </c>
      <c r="F2387" s="30" t="n">
        <v>591</v>
      </c>
      <c r="G2387" s="35" t="n">
        <v>0.222598870056497</v>
      </c>
    </row>
    <row r="2388" customFormat="false" ht="15" hidden="false" customHeight="false" outlineLevel="0" collapsed="false">
      <c r="A2388" s="25" t="s">
        <v>2769</v>
      </c>
      <c r="B2388" s="25" t="s">
        <v>194</v>
      </c>
      <c r="C2388" s="29" t="s">
        <v>368</v>
      </c>
      <c r="D2388" s="29" t="n">
        <v>2</v>
      </c>
      <c r="E2388" s="31" t="n">
        <v>2648</v>
      </c>
      <c r="F2388" s="31" t="n">
        <v>398</v>
      </c>
      <c r="G2388" s="37" t="n">
        <v>0.150302114803625</v>
      </c>
    </row>
    <row r="2389" customFormat="false" ht="15" hidden="false" customHeight="false" outlineLevel="0" collapsed="false">
      <c r="A2389" s="20" t="s">
        <v>2770</v>
      </c>
      <c r="B2389" s="9" t="s">
        <v>216</v>
      </c>
      <c r="C2389" s="9" t="s">
        <v>428</v>
      </c>
      <c r="D2389" s="9" t="n">
        <v>2</v>
      </c>
      <c r="E2389" s="30" t="n">
        <v>2634</v>
      </c>
      <c r="F2389" s="30" t="n">
        <v>1406</v>
      </c>
      <c r="G2389" s="35" t="n">
        <v>0.533788914198937</v>
      </c>
    </row>
    <row r="2390" customFormat="false" ht="15" hidden="false" customHeight="false" outlineLevel="0" collapsed="false">
      <c r="A2390" s="25" t="s">
        <v>2771</v>
      </c>
      <c r="B2390" s="25" t="s">
        <v>194</v>
      </c>
      <c r="C2390" s="29" t="s">
        <v>880</v>
      </c>
      <c r="D2390" s="29" t="n">
        <v>1</v>
      </c>
      <c r="E2390" s="31" t="n">
        <v>2626</v>
      </c>
      <c r="F2390" s="31" t="n">
        <v>-1903</v>
      </c>
      <c r="G2390" s="37" t="n">
        <v>-0.724676313785225</v>
      </c>
    </row>
    <row r="2391" customFormat="false" ht="15" hidden="false" customHeight="false" outlineLevel="0" collapsed="false">
      <c r="A2391" s="20" t="s">
        <v>2772</v>
      </c>
      <c r="B2391" s="9" t="s">
        <v>253</v>
      </c>
      <c r="C2391" s="9" t="s">
        <v>428</v>
      </c>
      <c r="D2391" s="9" t="n">
        <v>1</v>
      </c>
      <c r="E2391" s="30" t="n">
        <v>2619</v>
      </c>
      <c r="F2391" s="30" t="n">
        <v>1403</v>
      </c>
      <c r="G2391" s="35" t="n">
        <v>0.535700649102711</v>
      </c>
    </row>
    <row r="2392" customFormat="false" ht="15" hidden="false" customHeight="false" outlineLevel="0" collapsed="false">
      <c r="A2392" s="25" t="s">
        <v>2773</v>
      </c>
      <c r="B2392" s="25" t="s">
        <v>200</v>
      </c>
      <c r="C2392" s="29" t="s">
        <v>223</v>
      </c>
      <c r="D2392" s="29" t="n">
        <v>5</v>
      </c>
      <c r="E2392" s="31" t="n">
        <v>2605</v>
      </c>
      <c r="F2392" s="31" t="n">
        <v>590</v>
      </c>
      <c r="G2392" s="37" t="n">
        <v>0.226487523992322</v>
      </c>
    </row>
    <row r="2393" customFormat="false" ht="15" hidden="false" customHeight="false" outlineLevel="0" collapsed="false">
      <c r="A2393" s="20" t="s">
        <v>2774</v>
      </c>
      <c r="B2393" s="20" t="s">
        <v>194</v>
      </c>
      <c r="C2393" s="9" t="s">
        <v>209</v>
      </c>
      <c r="D2393" s="9" t="n">
        <v>2</v>
      </c>
      <c r="E2393" s="30" t="n">
        <v>2600</v>
      </c>
      <c r="F2393" s="30" t="n">
        <v>390</v>
      </c>
      <c r="G2393" s="35" t="n">
        <v>0.15</v>
      </c>
    </row>
    <row r="2394" customFormat="false" ht="15" hidden="false" customHeight="false" outlineLevel="0" collapsed="false">
      <c r="A2394" s="25" t="s">
        <v>2775</v>
      </c>
      <c r="B2394" s="25" t="s">
        <v>200</v>
      </c>
      <c r="C2394" s="29" t="s">
        <v>223</v>
      </c>
      <c r="D2394" s="29" t="n">
        <v>1</v>
      </c>
      <c r="E2394" s="31" t="n">
        <v>2598</v>
      </c>
      <c r="F2394" s="31" t="n">
        <v>390</v>
      </c>
      <c r="G2394" s="37" t="n">
        <v>0.150115473441109</v>
      </c>
    </row>
    <row r="2395" customFormat="false" ht="15" hidden="false" customHeight="false" outlineLevel="0" collapsed="false">
      <c r="A2395" s="20" t="s">
        <v>2776</v>
      </c>
      <c r="B2395" s="9" t="s">
        <v>2777</v>
      </c>
      <c r="C2395" s="9" t="s">
        <v>229</v>
      </c>
      <c r="D2395" s="9" t="n">
        <v>4</v>
      </c>
      <c r="E2395" s="30" t="n">
        <v>2592</v>
      </c>
      <c r="F2395" s="30" t="n">
        <v>389</v>
      </c>
      <c r="G2395" s="35" t="n">
        <v>0.150077160493827</v>
      </c>
    </row>
    <row r="2396" customFormat="false" ht="15" hidden="false" customHeight="false" outlineLevel="0" collapsed="false">
      <c r="A2396" s="25" t="s">
        <v>2778</v>
      </c>
      <c r="B2396" s="25" t="s">
        <v>200</v>
      </c>
      <c r="C2396" s="29" t="s">
        <v>223</v>
      </c>
      <c r="D2396" s="29" t="n">
        <v>1</v>
      </c>
      <c r="E2396" s="31" t="n">
        <v>2587</v>
      </c>
      <c r="F2396" s="31" t="n">
        <v>388</v>
      </c>
      <c r="G2396" s="37" t="n">
        <v>0.149980672593738</v>
      </c>
    </row>
    <row r="2397" customFormat="false" ht="15" hidden="false" customHeight="false" outlineLevel="0" collapsed="false">
      <c r="A2397" s="20" t="s">
        <v>2779</v>
      </c>
      <c r="B2397" s="9" t="s">
        <v>2150</v>
      </c>
      <c r="C2397" s="9" t="s">
        <v>768</v>
      </c>
      <c r="D2397" s="9" t="n">
        <v>1</v>
      </c>
      <c r="E2397" s="30" t="n">
        <v>2585</v>
      </c>
      <c r="F2397" s="30" t="n">
        <v>1948</v>
      </c>
      <c r="G2397" s="35" t="n">
        <v>0.75357833655706</v>
      </c>
    </row>
    <row r="2398" customFormat="false" ht="15" hidden="false" customHeight="false" outlineLevel="0" collapsed="false">
      <c r="A2398" s="25" t="s">
        <v>2780</v>
      </c>
      <c r="B2398" s="25" t="s">
        <v>194</v>
      </c>
      <c r="C2398" s="29" t="s">
        <v>768</v>
      </c>
      <c r="D2398" s="29" t="n">
        <v>1</v>
      </c>
      <c r="E2398" s="31" t="n">
        <v>2543</v>
      </c>
      <c r="F2398" s="31" t="n">
        <v>381</v>
      </c>
      <c r="G2398" s="37" t="n">
        <v>0.149823043649233</v>
      </c>
    </row>
    <row r="2399" customFormat="false" ht="15" hidden="false" customHeight="false" outlineLevel="0" collapsed="false">
      <c r="A2399" s="20" t="s">
        <v>2781</v>
      </c>
      <c r="B2399" s="9" t="s">
        <v>253</v>
      </c>
      <c r="C2399" s="9" t="s">
        <v>428</v>
      </c>
      <c r="D2399" s="9" t="n">
        <v>2</v>
      </c>
      <c r="E2399" s="30" t="n">
        <v>2542</v>
      </c>
      <c r="F2399" s="30" t="n">
        <v>1088</v>
      </c>
      <c r="G2399" s="35" t="n">
        <v>0.428009441384736</v>
      </c>
    </row>
    <row r="2400" customFormat="false" ht="15" hidden="false" customHeight="false" outlineLevel="0" collapsed="false">
      <c r="A2400" s="25" t="s">
        <v>2782</v>
      </c>
      <c r="B2400" s="25" t="s">
        <v>194</v>
      </c>
      <c r="C2400" s="29" t="s">
        <v>203</v>
      </c>
      <c r="D2400" s="29" t="n">
        <v>10</v>
      </c>
      <c r="E2400" s="31" t="n">
        <v>2540</v>
      </c>
      <c r="F2400" s="31" t="n">
        <v>380</v>
      </c>
      <c r="G2400" s="37" t="n">
        <v>0.149606299212598</v>
      </c>
    </row>
    <row r="2401" customFormat="false" ht="15" hidden="false" customHeight="false" outlineLevel="0" collapsed="false">
      <c r="A2401" s="20" t="s">
        <v>2783</v>
      </c>
      <c r="B2401" s="9" t="s">
        <v>253</v>
      </c>
      <c r="C2401" s="9" t="s">
        <v>428</v>
      </c>
      <c r="D2401" s="9" t="n">
        <v>8</v>
      </c>
      <c r="E2401" s="30" t="n">
        <v>2528</v>
      </c>
      <c r="F2401" s="30" t="n">
        <v>920</v>
      </c>
      <c r="G2401" s="35" t="n">
        <v>0.363924050632911</v>
      </c>
    </row>
    <row r="2402" customFormat="false" ht="15" hidden="false" customHeight="false" outlineLevel="0" collapsed="false">
      <c r="A2402" s="25" t="s">
        <v>2784</v>
      </c>
      <c r="B2402" s="25" t="s">
        <v>200</v>
      </c>
      <c r="C2402" s="29" t="s">
        <v>223</v>
      </c>
      <c r="D2402" s="29" t="n">
        <v>2</v>
      </c>
      <c r="E2402" s="31" t="n">
        <v>2524</v>
      </c>
      <c r="F2402" s="31" t="n">
        <v>378</v>
      </c>
      <c r="G2402" s="37" t="n">
        <v>0.149762282091918</v>
      </c>
    </row>
    <row r="2403" customFormat="false" ht="15" hidden="false" customHeight="false" outlineLevel="0" collapsed="false">
      <c r="A2403" s="20" t="s">
        <v>2785</v>
      </c>
      <c r="B2403" s="20" t="s">
        <v>200</v>
      </c>
      <c r="C2403" s="9" t="s">
        <v>223</v>
      </c>
      <c r="D2403" s="9" t="n">
        <v>1</v>
      </c>
      <c r="E2403" s="30" t="n">
        <v>2522</v>
      </c>
      <c r="F2403" s="30" t="n">
        <v>1029</v>
      </c>
      <c r="G2403" s="35" t="n">
        <v>0.408009516256939</v>
      </c>
    </row>
    <row r="2404" customFormat="false" ht="15" hidden="false" customHeight="false" outlineLevel="0" collapsed="false">
      <c r="A2404" s="25" t="s">
        <v>2786</v>
      </c>
      <c r="B2404" s="25" t="s">
        <v>200</v>
      </c>
      <c r="C2404" s="29" t="s">
        <v>223</v>
      </c>
      <c r="D2404" s="29" t="n">
        <v>2</v>
      </c>
      <c r="E2404" s="31" t="n">
        <v>2510</v>
      </c>
      <c r="F2404" s="31" t="n">
        <v>376</v>
      </c>
      <c r="G2404" s="37" t="n">
        <v>0.149800796812749</v>
      </c>
    </row>
    <row r="2405" customFormat="false" ht="15" hidden="false" customHeight="false" outlineLevel="0" collapsed="false">
      <c r="A2405" s="20" t="s">
        <v>2787</v>
      </c>
      <c r="B2405" s="9" t="s">
        <v>216</v>
      </c>
      <c r="C2405" s="9" t="s">
        <v>428</v>
      </c>
      <c r="D2405" s="9" t="n">
        <v>2</v>
      </c>
      <c r="E2405" s="30" t="n">
        <v>2496</v>
      </c>
      <c r="F2405" s="30" t="n">
        <v>1498</v>
      </c>
      <c r="G2405" s="35" t="n">
        <v>0.600160256410256</v>
      </c>
    </row>
    <row r="2406" customFormat="false" ht="15" hidden="false" customHeight="false" outlineLevel="0" collapsed="false">
      <c r="A2406" s="25" t="s">
        <v>2788</v>
      </c>
      <c r="B2406" s="25" t="s">
        <v>194</v>
      </c>
      <c r="C2406" s="29" t="s">
        <v>203</v>
      </c>
      <c r="D2406" s="29" t="n">
        <v>2</v>
      </c>
      <c r="E2406" s="31" t="n">
        <v>2490</v>
      </c>
      <c r="F2406" s="31" t="n">
        <v>374</v>
      </c>
      <c r="G2406" s="37" t="n">
        <v>0.150200803212851</v>
      </c>
    </row>
    <row r="2407" customFormat="false" ht="15" hidden="false" customHeight="false" outlineLevel="0" collapsed="false">
      <c r="A2407" s="20" t="s">
        <v>2789</v>
      </c>
      <c r="B2407" s="20" t="s">
        <v>194</v>
      </c>
      <c r="C2407" s="9" t="s">
        <v>203</v>
      </c>
      <c r="D2407" s="9" t="n">
        <v>1</v>
      </c>
      <c r="E2407" s="30" t="n">
        <v>2487</v>
      </c>
      <c r="F2407" s="30" t="n">
        <v>755</v>
      </c>
      <c r="G2407" s="35" t="n">
        <v>0.303578608765581</v>
      </c>
    </row>
    <row r="2408" customFormat="false" ht="15" hidden="false" customHeight="false" outlineLevel="0" collapsed="false">
      <c r="A2408" s="25" t="s">
        <v>2790</v>
      </c>
      <c r="B2408" s="25" t="s">
        <v>194</v>
      </c>
      <c r="C2408" s="29" t="s">
        <v>217</v>
      </c>
      <c r="D2408" s="29" t="n">
        <v>6</v>
      </c>
      <c r="E2408" s="31" t="n">
        <v>2478</v>
      </c>
      <c r="F2408" s="31" t="n">
        <v>834</v>
      </c>
      <c r="G2408" s="37" t="n">
        <v>0.336561743341404</v>
      </c>
    </row>
    <row r="2409" customFormat="false" ht="15" hidden="false" customHeight="false" outlineLevel="0" collapsed="false">
      <c r="A2409" s="20" t="s">
        <v>2791</v>
      </c>
      <c r="B2409" s="20" t="s">
        <v>240</v>
      </c>
      <c r="C2409" s="9" t="s">
        <v>768</v>
      </c>
      <c r="D2409" s="9" t="n">
        <v>2</v>
      </c>
      <c r="E2409" s="30" t="n">
        <v>2476</v>
      </c>
      <c r="F2409" s="30" t="n">
        <v>1736</v>
      </c>
      <c r="G2409" s="35" t="n">
        <v>0.701130856219709</v>
      </c>
    </row>
    <row r="2410" customFormat="false" ht="15" hidden="false" customHeight="false" outlineLevel="0" collapsed="false">
      <c r="A2410" s="25" t="s">
        <v>2792</v>
      </c>
      <c r="B2410" s="29" t="s">
        <v>253</v>
      </c>
      <c r="C2410" s="29" t="s">
        <v>428</v>
      </c>
      <c r="D2410" s="29" t="n">
        <v>5</v>
      </c>
      <c r="E2410" s="31" t="n">
        <v>2470</v>
      </c>
      <c r="F2410" s="31" t="n">
        <v>1175</v>
      </c>
      <c r="G2410" s="37" t="n">
        <v>0.475708502024292</v>
      </c>
    </row>
    <row r="2411" customFormat="false" ht="15" hidden="false" customHeight="false" outlineLevel="0" collapsed="false">
      <c r="A2411" s="20" t="s">
        <v>2793</v>
      </c>
      <c r="B2411" s="20" t="s">
        <v>240</v>
      </c>
      <c r="C2411" s="9" t="s">
        <v>223</v>
      </c>
      <c r="D2411" s="9" t="n">
        <v>2</v>
      </c>
      <c r="E2411" s="30" t="n">
        <v>2462</v>
      </c>
      <c r="F2411" s="30" t="n">
        <v>370</v>
      </c>
      <c r="G2411" s="35" t="n">
        <v>0.150284321689683</v>
      </c>
    </row>
    <row r="2412" customFormat="false" ht="15" hidden="false" customHeight="false" outlineLevel="0" collapsed="false">
      <c r="A2412" s="25" t="s">
        <v>2794</v>
      </c>
      <c r="B2412" s="25" t="s">
        <v>194</v>
      </c>
      <c r="C2412" s="29" t="s">
        <v>1183</v>
      </c>
      <c r="D2412" s="29" t="n">
        <v>1</v>
      </c>
      <c r="E2412" s="31" t="n">
        <v>2458</v>
      </c>
      <c r="F2412" s="31" t="n">
        <v>1072</v>
      </c>
      <c r="G2412" s="37" t="n">
        <v>0.436126932465419</v>
      </c>
    </row>
    <row r="2413" customFormat="false" ht="15" hidden="false" customHeight="false" outlineLevel="0" collapsed="false">
      <c r="A2413" s="20" t="s">
        <v>2795</v>
      </c>
      <c r="B2413" s="9" t="s">
        <v>253</v>
      </c>
      <c r="C2413" s="9" t="s">
        <v>254</v>
      </c>
      <c r="D2413" s="9" t="n">
        <v>5</v>
      </c>
      <c r="E2413" s="30" t="n">
        <v>2455</v>
      </c>
      <c r="F2413" s="30" t="n">
        <v>310</v>
      </c>
      <c r="G2413" s="35" t="n">
        <v>0.126272912423625</v>
      </c>
    </row>
    <row r="2414" customFormat="false" ht="15" hidden="false" customHeight="false" outlineLevel="0" collapsed="false">
      <c r="A2414" s="25" t="s">
        <v>2796</v>
      </c>
      <c r="B2414" s="25" t="s">
        <v>2797</v>
      </c>
      <c r="C2414" s="29" t="s">
        <v>231</v>
      </c>
      <c r="D2414" s="29" t="n">
        <v>25</v>
      </c>
      <c r="E2414" s="31" t="n">
        <v>2450</v>
      </c>
      <c r="F2414" s="31" t="n">
        <v>366</v>
      </c>
      <c r="G2414" s="37" t="n">
        <v>0.149387755102041</v>
      </c>
    </row>
    <row r="2415" customFormat="false" ht="15" hidden="false" customHeight="false" outlineLevel="0" collapsed="false">
      <c r="A2415" s="20" t="s">
        <v>2798</v>
      </c>
      <c r="B2415" s="20" t="s">
        <v>194</v>
      </c>
      <c r="C2415" s="9" t="s">
        <v>203</v>
      </c>
      <c r="D2415" s="9" t="n">
        <v>1</v>
      </c>
      <c r="E2415" s="30" t="n">
        <v>2450</v>
      </c>
      <c r="F2415" s="30" t="n">
        <v>350</v>
      </c>
      <c r="G2415" s="35" t="n">
        <v>0.142857142857143</v>
      </c>
    </row>
    <row r="2416" customFormat="false" ht="15" hidden="false" customHeight="false" outlineLevel="0" collapsed="false">
      <c r="A2416" s="25" t="s">
        <v>2799</v>
      </c>
      <c r="B2416" s="25" t="s">
        <v>2797</v>
      </c>
      <c r="C2416" s="29" t="s">
        <v>231</v>
      </c>
      <c r="D2416" s="29" t="n">
        <v>25</v>
      </c>
      <c r="E2416" s="31" t="n">
        <v>2450</v>
      </c>
      <c r="F2416" s="31" t="n">
        <v>366</v>
      </c>
      <c r="G2416" s="37" t="n">
        <v>0.149387755102041</v>
      </c>
    </row>
    <row r="2417" customFormat="false" ht="15" hidden="false" customHeight="false" outlineLevel="0" collapsed="false">
      <c r="A2417" s="20" t="s">
        <v>2800</v>
      </c>
      <c r="B2417" s="20" t="s">
        <v>200</v>
      </c>
      <c r="C2417" s="9" t="s">
        <v>201</v>
      </c>
      <c r="D2417" s="9" t="n">
        <v>2</v>
      </c>
      <c r="E2417" s="30" t="n">
        <v>2446</v>
      </c>
      <c r="F2417" s="30" t="n">
        <v>367</v>
      </c>
      <c r="G2417" s="35" t="n">
        <v>0.150040883074407</v>
      </c>
    </row>
    <row r="2418" customFormat="false" ht="15" hidden="false" customHeight="false" outlineLevel="0" collapsed="false">
      <c r="A2418" s="25" t="s">
        <v>2801</v>
      </c>
      <c r="B2418" s="25" t="s">
        <v>200</v>
      </c>
      <c r="C2418" s="29" t="s">
        <v>201</v>
      </c>
      <c r="D2418" s="29" t="n">
        <v>2</v>
      </c>
      <c r="E2418" s="31" t="n">
        <v>2446</v>
      </c>
      <c r="F2418" s="31" t="n">
        <v>367</v>
      </c>
      <c r="G2418" s="37" t="n">
        <v>0.150040883074407</v>
      </c>
    </row>
    <row r="2419" customFormat="false" ht="15" hidden="false" customHeight="false" outlineLevel="0" collapsed="false">
      <c r="A2419" s="20" t="s">
        <v>2802</v>
      </c>
      <c r="B2419" s="20" t="s">
        <v>194</v>
      </c>
      <c r="C2419" s="9" t="s">
        <v>223</v>
      </c>
      <c r="D2419" s="9" t="n">
        <v>3</v>
      </c>
      <c r="E2419" s="30" t="n">
        <v>2445</v>
      </c>
      <c r="F2419" s="30" t="n">
        <v>366</v>
      </c>
      <c r="G2419" s="35" t="n">
        <v>0.149693251533742</v>
      </c>
    </row>
    <row r="2420" customFormat="false" ht="15" hidden="false" customHeight="false" outlineLevel="0" collapsed="false">
      <c r="A2420" s="25" t="s">
        <v>2803</v>
      </c>
      <c r="B2420" s="25" t="s">
        <v>194</v>
      </c>
      <c r="C2420" s="29" t="s">
        <v>217</v>
      </c>
      <c r="D2420" s="29" t="n">
        <v>1</v>
      </c>
      <c r="E2420" s="31" t="n">
        <v>2432</v>
      </c>
      <c r="F2420" s="31" t="n">
        <v>-923</v>
      </c>
      <c r="G2420" s="37" t="n">
        <v>-0.37952302631579</v>
      </c>
    </row>
    <row r="2421" customFormat="false" ht="15" hidden="false" customHeight="false" outlineLevel="0" collapsed="false">
      <c r="A2421" s="20" t="s">
        <v>2804</v>
      </c>
      <c r="B2421" s="20" t="s">
        <v>200</v>
      </c>
      <c r="C2421" s="9" t="s">
        <v>201</v>
      </c>
      <c r="D2421" s="9" t="n">
        <v>2</v>
      </c>
      <c r="E2421" s="30" t="n">
        <v>2432</v>
      </c>
      <c r="F2421" s="30" t="n">
        <v>365</v>
      </c>
      <c r="G2421" s="35" t="n">
        <v>0.150082236842105</v>
      </c>
    </row>
    <row r="2422" customFormat="false" ht="15" hidden="false" customHeight="false" outlineLevel="0" collapsed="false">
      <c r="A2422" s="25" t="s">
        <v>2805</v>
      </c>
      <c r="B2422" s="29" t="s">
        <v>253</v>
      </c>
      <c r="C2422" s="29" t="s">
        <v>428</v>
      </c>
      <c r="D2422" s="29" t="n">
        <v>4</v>
      </c>
      <c r="E2422" s="31" t="n">
        <v>2424</v>
      </c>
      <c r="F2422" s="31" t="n">
        <v>1308</v>
      </c>
      <c r="G2422" s="37" t="n">
        <v>0.53960396039604</v>
      </c>
    </row>
    <row r="2423" customFormat="false" ht="15" hidden="false" customHeight="false" outlineLevel="0" collapsed="false">
      <c r="A2423" s="20" t="s">
        <v>2806</v>
      </c>
      <c r="B2423" s="20" t="s">
        <v>240</v>
      </c>
      <c r="C2423" s="9" t="s">
        <v>439</v>
      </c>
      <c r="D2423" s="9" t="n">
        <v>1</v>
      </c>
      <c r="E2423" s="30" t="n">
        <v>2415</v>
      </c>
      <c r="F2423" s="30" t="n">
        <v>716</v>
      </c>
      <c r="G2423" s="35" t="n">
        <v>0.29648033126294</v>
      </c>
    </row>
    <row r="2424" customFormat="false" ht="15" hidden="false" customHeight="false" outlineLevel="0" collapsed="false">
      <c r="A2424" s="25" t="s">
        <v>2807</v>
      </c>
      <c r="B2424" s="25" t="s">
        <v>194</v>
      </c>
      <c r="C2424" s="29" t="s">
        <v>203</v>
      </c>
      <c r="D2424" s="29" t="n">
        <v>1</v>
      </c>
      <c r="E2424" s="31" t="n">
        <v>2414</v>
      </c>
      <c r="F2424" s="31" t="n">
        <v>362</v>
      </c>
      <c r="G2424" s="37" t="n">
        <v>0.149958574979288</v>
      </c>
    </row>
    <row r="2425" customFormat="false" ht="15" hidden="false" customHeight="false" outlineLevel="0" collapsed="false">
      <c r="A2425" s="20" t="s">
        <v>2808</v>
      </c>
      <c r="B2425" s="9" t="s">
        <v>2150</v>
      </c>
      <c r="C2425" s="9" t="s">
        <v>768</v>
      </c>
      <c r="D2425" s="9" t="n">
        <v>1</v>
      </c>
      <c r="E2425" s="30" t="n">
        <v>2406</v>
      </c>
      <c r="F2425" s="30" t="n">
        <v>361</v>
      </c>
      <c r="G2425" s="35" t="n">
        <v>0.150041562759767</v>
      </c>
    </row>
    <row r="2426" customFormat="false" ht="15" hidden="false" customHeight="false" outlineLevel="0" collapsed="false">
      <c r="A2426" s="25" t="s">
        <v>2809</v>
      </c>
      <c r="B2426" s="25" t="s">
        <v>200</v>
      </c>
      <c r="C2426" s="29" t="s">
        <v>223</v>
      </c>
      <c r="D2426" s="29" t="n">
        <v>1</v>
      </c>
      <c r="E2426" s="31" t="n">
        <v>2405</v>
      </c>
      <c r="F2426" s="31" t="n">
        <v>361</v>
      </c>
      <c r="G2426" s="37" t="n">
        <v>0.15010395010395</v>
      </c>
    </row>
    <row r="2427" customFormat="false" ht="15" hidden="false" customHeight="false" outlineLevel="0" collapsed="false">
      <c r="A2427" s="20" t="s">
        <v>2810</v>
      </c>
      <c r="B2427" s="9" t="s">
        <v>253</v>
      </c>
      <c r="C2427" s="9" t="s">
        <v>428</v>
      </c>
      <c r="D2427" s="9" t="n">
        <v>1</v>
      </c>
      <c r="E2427" s="30" t="n">
        <v>2399</v>
      </c>
      <c r="F2427" s="30" t="n">
        <v>1967</v>
      </c>
      <c r="G2427" s="35" t="n">
        <v>0.819924968736974</v>
      </c>
    </row>
    <row r="2428" customFormat="false" ht="15" hidden="false" customHeight="false" outlineLevel="0" collapsed="false">
      <c r="A2428" s="25" t="s">
        <v>2811</v>
      </c>
      <c r="B2428" s="25" t="s">
        <v>194</v>
      </c>
      <c r="C2428" s="29" t="s">
        <v>880</v>
      </c>
      <c r="D2428" s="29" t="n">
        <v>1</v>
      </c>
      <c r="E2428" s="31" t="n">
        <v>2393</v>
      </c>
      <c r="F2428" s="31" t="n">
        <v>893</v>
      </c>
      <c r="G2428" s="37" t="n">
        <v>0.373171750940242</v>
      </c>
    </row>
    <row r="2429" customFormat="false" ht="15" hidden="false" customHeight="false" outlineLevel="0" collapsed="false">
      <c r="A2429" s="20" t="s">
        <v>2812</v>
      </c>
      <c r="B2429" s="20" t="s">
        <v>194</v>
      </c>
      <c r="C2429" s="9" t="s">
        <v>223</v>
      </c>
      <c r="D2429" s="9" t="n">
        <v>3</v>
      </c>
      <c r="E2429" s="30" t="n">
        <v>2385</v>
      </c>
      <c r="F2429" s="30" t="n">
        <v>546</v>
      </c>
      <c r="G2429" s="35" t="n">
        <v>0.228930817610063</v>
      </c>
    </row>
    <row r="2430" customFormat="false" ht="15" hidden="false" customHeight="false" outlineLevel="0" collapsed="false">
      <c r="A2430" s="25" t="s">
        <v>2813</v>
      </c>
      <c r="B2430" s="29" t="s">
        <v>216</v>
      </c>
      <c r="C2430" s="29" t="s">
        <v>428</v>
      </c>
      <c r="D2430" s="29" t="n">
        <v>1</v>
      </c>
      <c r="E2430" s="31" t="n">
        <v>2384</v>
      </c>
      <c r="F2430" s="31" t="n">
        <v>1350</v>
      </c>
      <c r="G2430" s="37" t="n">
        <v>0.566275167785235</v>
      </c>
    </row>
    <row r="2431" customFormat="false" ht="15" hidden="false" customHeight="false" outlineLevel="0" collapsed="false">
      <c r="A2431" s="20" t="s">
        <v>2814</v>
      </c>
      <c r="B2431" s="9" t="s">
        <v>253</v>
      </c>
      <c r="C2431" s="9" t="s">
        <v>297</v>
      </c>
      <c r="D2431" s="9" t="n">
        <v>1</v>
      </c>
      <c r="E2431" s="30" t="n">
        <v>2382</v>
      </c>
      <c r="F2431" s="30" t="n">
        <v>357</v>
      </c>
      <c r="G2431" s="35" t="n">
        <v>0.149874055415617</v>
      </c>
    </row>
    <row r="2432" customFormat="false" ht="15" hidden="false" customHeight="false" outlineLevel="0" collapsed="false">
      <c r="A2432" s="25" t="s">
        <v>2815</v>
      </c>
      <c r="B2432" s="29" t="s">
        <v>253</v>
      </c>
      <c r="C2432" s="29" t="s">
        <v>223</v>
      </c>
      <c r="D2432" s="29" t="n">
        <v>2</v>
      </c>
      <c r="E2432" s="31" t="n">
        <v>2380</v>
      </c>
      <c r="F2432" s="31" t="n">
        <v>356</v>
      </c>
      <c r="G2432" s="37" t="n">
        <v>0.149579831932773</v>
      </c>
    </row>
    <row r="2433" customFormat="false" ht="15" hidden="false" customHeight="false" outlineLevel="0" collapsed="false">
      <c r="A2433" s="20" t="s">
        <v>2816</v>
      </c>
      <c r="B2433" s="20" t="s">
        <v>194</v>
      </c>
      <c r="C2433" s="9" t="s">
        <v>195</v>
      </c>
      <c r="D2433" s="9" t="n">
        <v>2</v>
      </c>
      <c r="E2433" s="30" t="n">
        <v>2378</v>
      </c>
      <c r="F2433" s="30" t="n">
        <v>356</v>
      </c>
      <c r="G2433" s="35" t="n">
        <v>0.149705634987384</v>
      </c>
    </row>
    <row r="2434" customFormat="false" ht="15" hidden="false" customHeight="false" outlineLevel="0" collapsed="false">
      <c r="A2434" s="25" t="s">
        <v>2817</v>
      </c>
      <c r="B2434" s="25" t="s">
        <v>240</v>
      </c>
      <c r="C2434" s="29" t="s">
        <v>368</v>
      </c>
      <c r="D2434" s="29" t="n">
        <v>6</v>
      </c>
      <c r="E2434" s="31" t="n">
        <v>2376</v>
      </c>
      <c r="F2434" s="31" t="n">
        <v>357</v>
      </c>
      <c r="G2434" s="37" t="n">
        <v>0.150252525252525</v>
      </c>
    </row>
    <row r="2435" customFormat="false" ht="15" hidden="false" customHeight="false" outlineLevel="0" collapsed="false">
      <c r="A2435" s="20" t="s">
        <v>2818</v>
      </c>
      <c r="B2435" s="9" t="s">
        <v>253</v>
      </c>
      <c r="C2435" s="9" t="s">
        <v>428</v>
      </c>
      <c r="D2435" s="9" t="n">
        <v>8</v>
      </c>
      <c r="E2435" s="30" t="n">
        <v>2376</v>
      </c>
      <c r="F2435" s="30" t="n">
        <v>1040</v>
      </c>
      <c r="G2435" s="35" t="n">
        <v>0.437710437710438</v>
      </c>
    </row>
    <row r="2436" customFormat="false" ht="15" hidden="false" customHeight="false" outlineLevel="0" collapsed="false">
      <c r="A2436" s="25" t="s">
        <v>2819</v>
      </c>
      <c r="B2436" s="25" t="s">
        <v>194</v>
      </c>
      <c r="C2436" s="29" t="s">
        <v>223</v>
      </c>
      <c r="D2436" s="29" t="n">
        <v>2</v>
      </c>
      <c r="E2436" s="31" t="n">
        <v>2372</v>
      </c>
      <c r="F2436" s="31" t="n">
        <v>670</v>
      </c>
      <c r="G2436" s="37" t="n">
        <v>0.282462057335582</v>
      </c>
    </row>
    <row r="2437" customFormat="false" ht="15" hidden="false" customHeight="false" outlineLevel="0" collapsed="false">
      <c r="A2437" s="20" t="s">
        <v>2820</v>
      </c>
      <c r="B2437" s="20" t="s">
        <v>194</v>
      </c>
      <c r="C2437" s="9" t="s">
        <v>2160</v>
      </c>
      <c r="D2437" s="9" t="n">
        <v>5</v>
      </c>
      <c r="E2437" s="30" t="n">
        <v>2350</v>
      </c>
      <c r="F2437" s="30" t="n">
        <v>352</v>
      </c>
      <c r="G2437" s="35" t="n">
        <v>0.149787234042553</v>
      </c>
    </row>
    <row r="2438" customFormat="false" ht="15" hidden="false" customHeight="false" outlineLevel="0" collapsed="false">
      <c r="A2438" s="25" t="s">
        <v>2821</v>
      </c>
      <c r="B2438" s="25" t="s">
        <v>194</v>
      </c>
      <c r="C2438" s="29" t="s">
        <v>2160</v>
      </c>
      <c r="D2438" s="29" t="n">
        <v>5</v>
      </c>
      <c r="E2438" s="31" t="n">
        <v>2350</v>
      </c>
      <c r="F2438" s="31" t="n">
        <v>352</v>
      </c>
      <c r="G2438" s="37" t="n">
        <v>0.149787234042553</v>
      </c>
    </row>
    <row r="2439" customFormat="false" ht="15" hidden="false" customHeight="false" outlineLevel="0" collapsed="false">
      <c r="A2439" s="20" t="s">
        <v>2822</v>
      </c>
      <c r="B2439" s="20" t="s">
        <v>194</v>
      </c>
      <c r="C2439" s="9" t="s">
        <v>223</v>
      </c>
      <c r="D2439" s="9" t="n">
        <v>1</v>
      </c>
      <c r="E2439" s="30" t="n">
        <v>2342</v>
      </c>
      <c r="F2439" s="30" t="n">
        <v>351</v>
      </c>
      <c r="G2439" s="35" t="n">
        <v>0.149871904355252</v>
      </c>
    </row>
    <row r="2440" customFormat="false" ht="15" hidden="false" customHeight="false" outlineLevel="0" collapsed="false">
      <c r="A2440" s="25" t="s">
        <v>2823</v>
      </c>
      <c r="B2440" s="29" t="s">
        <v>253</v>
      </c>
      <c r="C2440" s="29" t="s">
        <v>428</v>
      </c>
      <c r="D2440" s="29" t="n">
        <v>5</v>
      </c>
      <c r="E2440" s="31" t="n">
        <v>2310</v>
      </c>
      <c r="F2440" s="31" t="n">
        <v>535</v>
      </c>
      <c r="G2440" s="37" t="n">
        <v>0.231601731601732</v>
      </c>
    </row>
    <row r="2441" customFormat="false" ht="15" hidden="false" customHeight="false" outlineLevel="0" collapsed="false">
      <c r="A2441" s="20" t="s">
        <v>2824</v>
      </c>
      <c r="B2441" s="20" t="s">
        <v>194</v>
      </c>
      <c r="C2441" s="9" t="s">
        <v>880</v>
      </c>
      <c r="D2441" s="9" t="n">
        <v>1</v>
      </c>
      <c r="E2441" s="30" t="n">
        <v>2303</v>
      </c>
      <c r="F2441" s="30" t="n">
        <v>653</v>
      </c>
      <c r="G2441" s="35" t="n">
        <v>0.283543204515849</v>
      </c>
    </row>
    <row r="2442" customFormat="false" ht="15" hidden="false" customHeight="false" outlineLevel="0" collapsed="false">
      <c r="A2442" s="25" t="s">
        <v>2825</v>
      </c>
      <c r="B2442" s="25" t="s">
        <v>240</v>
      </c>
      <c r="C2442" s="29" t="s">
        <v>439</v>
      </c>
      <c r="D2442" s="29" t="n">
        <v>1</v>
      </c>
      <c r="E2442" s="31" t="n">
        <v>2301</v>
      </c>
      <c r="F2442" s="31" t="n">
        <v>1861</v>
      </c>
      <c r="G2442" s="37" t="n">
        <v>0.808778791829639</v>
      </c>
    </row>
    <row r="2443" customFormat="false" ht="15" hidden="false" customHeight="false" outlineLevel="0" collapsed="false">
      <c r="A2443" s="20" t="s">
        <v>2826</v>
      </c>
      <c r="B2443" s="20" t="s">
        <v>194</v>
      </c>
      <c r="C2443" s="9" t="s">
        <v>1009</v>
      </c>
      <c r="D2443" s="9" t="n">
        <v>10</v>
      </c>
      <c r="E2443" s="30" t="n">
        <v>2300</v>
      </c>
      <c r="F2443" s="30" t="n">
        <v>345</v>
      </c>
      <c r="G2443" s="35" t="n">
        <v>0.15</v>
      </c>
    </row>
    <row r="2444" customFormat="false" ht="15" hidden="false" customHeight="false" outlineLevel="0" collapsed="false">
      <c r="A2444" s="25" t="s">
        <v>2827</v>
      </c>
      <c r="B2444" s="25" t="s">
        <v>220</v>
      </c>
      <c r="C2444" s="29" t="s">
        <v>217</v>
      </c>
      <c r="D2444" s="29" t="n">
        <v>1</v>
      </c>
      <c r="E2444" s="31" t="n">
        <v>2298</v>
      </c>
      <c r="F2444" s="31" t="n">
        <v>345</v>
      </c>
      <c r="G2444" s="37" t="n">
        <v>0.150130548302872</v>
      </c>
    </row>
    <row r="2445" customFormat="false" ht="15" hidden="false" customHeight="false" outlineLevel="0" collapsed="false">
      <c r="A2445" s="20" t="s">
        <v>2828</v>
      </c>
      <c r="B2445" s="20" t="s">
        <v>200</v>
      </c>
      <c r="C2445" s="9" t="s">
        <v>880</v>
      </c>
      <c r="D2445" s="9" t="n">
        <v>2</v>
      </c>
      <c r="E2445" s="30" t="n">
        <v>2288</v>
      </c>
      <c r="F2445" s="30" t="n">
        <v>348</v>
      </c>
      <c r="G2445" s="35" t="n">
        <v>0.152097902097902</v>
      </c>
    </row>
    <row r="2446" customFormat="false" ht="15" hidden="false" customHeight="false" outlineLevel="0" collapsed="false">
      <c r="A2446" s="25" t="s">
        <v>2829</v>
      </c>
      <c r="B2446" s="25" t="s">
        <v>200</v>
      </c>
      <c r="C2446" s="29" t="s">
        <v>223</v>
      </c>
      <c r="D2446" s="29" t="n">
        <v>2</v>
      </c>
      <c r="E2446" s="31" t="n">
        <v>2286</v>
      </c>
      <c r="F2446" s="31" t="n">
        <v>343</v>
      </c>
      <c r="G2446" s="37" t="n">
        <v>0.150043744531934</v>
      </c>
    </row>
    <row r="2447" customFormat="false" ht="15" hidden="false" customHeight="false" outlineLevel="0" collapsed="false">
      <c r="A2447" s="20" t="s">
        <v>2830</v>
      </c>
      <c r="B2447" s="9" t="s">
        <v>253</v>
      </c>
      <c r="C2447" s="9" t="s">
        <v>428</v>
      </c>
      <c r="D2447" s="9" t="n">
        <v>2</v>
      </c>
      <c r="E2447" s="30" t="n">
        <v>2286</v>
      </c>
      <c r="F2447" s="30" t="n">
        <v>228</v>
      </c>
      <c r="G2447" s="35" t="n">
        <v>0.0997375328083989</v>
      </c>
    </row>
    <row r="2448" customFormat="false" ht="15" hidden="false" customHeight="false" outlineLevel="0" collapsed="false">
      <c r="A2448" s="25" t="s">
        <v>2831</v>
      </c>
      <c r="B2448" s="25" t="s">
        <v>2832</v>
      </c>
      <c r="C2448" s="29" t="s">
        <v>203</v>
      </c>
      <c r="D2448" s="29" t="n">
        <v>2</v>
      </c>
      <c r="E2448" s="31" t="n">
        <v>2274</v>
      </c>
      <c r="F2448" s="31" t="n">
        <v>341</v>
      </c>
      <c r="G2448" s="37" t="n">
        <v>0.149956024626209</v>
      </c>
    </row>
    <row r="2449" customFormat="false" ht="15" hidden="false" customHeight="false" outlineLevel="0" collapsed="false">
      <c r="A2449" s="20" t="s">
        <v>2833</v>
      </c>
      <c r="B2449" s="20" t="s">
        <v>200</v>
      </c>
      <c r="C2449" s="9" t="s">
        <v>439</v>
      </c>
      <c r="D2449" s="9" t="n">
        <v>1</v>
      </c>
      <c r="E2449" s="30" t="n">
        <v>2265</v>
      </c>
      <c r="F2449" s="30" t="n">
        <v>340</v>
      </c>
      <c r="G2449" s="35" t="n">
        <v>0.150110375275938</v>
      </c>
    </row>
    <row r="2450" customFormat="false" ht="15" hidden="false" customHeight="false" outlineLevel="0" collapsed="false">
      <c r="A2450" s="25" t="s">
        <v>2834</v>
      </c>
      <c r="B2450" s="25" t="s">
        <v>194</v>
      </c>
      <c r="C2450" s="29" t="s">
        <v>223</v>
      </c>
      <c r="D2450" s="29" t="n">
        <v>1</v>
      </c>
      <c r="E2450" s="31" t="n">
        <v>2258</v>
      </c>
      <c r="F2450" s="31" t="n">
        <v>263</v>
      </c>
      <c r="G2450" s="37" t="n">
        <v>0.116474756421612</v>
      </c>
    </row>
    <row r="2451" customFormat="false" ht="15" hidden="false" customHeight="false" outlineLevel="0" collapsed="false">
      <c r="A2451" s="20" t="s">
        <v>2835</v>
      </c>
      <c r="B2451" s="9" t="s">
        <v>2150</v>
      </c>
      <c r="C2451" s="9" t="s">
        <v>768</v>
      </c>
      <c r="D2451" s="9" t="n">
        <v>1</v>
      </c>
      <c r="E2451" s="30" t="n">
        <v>2253</v>
      </c>
      <c r="F2451" s="30" t="n">
        <v>338</v>
      </c>
      <c r="G2451" s="35" t="n">
        <v>0.150022192632046</v>
      </c>
    </row>
    <row r="2452" customFormat="false" ht="15" hidden="false" customHeight="false" outlineLevel="0" collapsed="false">
      <c r="A2452" s="25" t="s">
        <v>2836</v>
      </c>
      <c r="B2452" s="25" t="s">
        <v>194</v>
      </c>
      <c r="C2452" s="29" t="s">
        <v>368</v>
      </c>
      <c r="D2452" s="29" t="n">
        <v>2</v>
      </c>
      <c r="E2452" s="31" t="n">
        <v>2232</v>
      </c>
      <c r="F2452" s="31" t="n">
        <v>334</v>
      </c>
      <c r="G2452" s="37" t="n">
        <v>0.149641577060932</v>
      </c>
    </row>
    <row r="2453" customFormat="false" ht="15" hidden="false" customHeight="false" outlineLevel="0" collapsed="false">
      <c r="A2453" s="20" t="s">
        <v>2837</v>
      </c>
      <c r="B2453" s="20" t="s">
        <v>194</v>
      </c>
      <c r="C2453" s="9" t="s">
        <v>203</v>
      </c>
      <c r="D2453" s="9" t="n">
        <v>1</v>
      </c>
      <c r="E2453" s="30" t="n">
        <v>2210</v>
      </c>
      <c r="F2453" s="30" t="n">
        <v>1910</v>
      </c>
      <c r="G2453" s="35" t="n">
        <v>0.864253393665158</v>
      </c>
    </row>
    <row r="2454" customFormat="false" ht="15" hidden="false" customHeight="false" outlineLevel="0" collapsed="false">
      <c r="A2454" s="25" t="s">
        <v>2838</v>
      </c>
      <c r="B2454" s="25" t="s">
        <v>194</v>
      </c>
      <c r="C2454" s="29" t="s">
        <v>334</v>
      </c>
      <c r="D2454" s="29" t="n">
        <v>4</v>
      </c>
      <c r="E2454" s="31" t="n">
        <v>2204</v>
      </c>
      <c r="F2454" s="31" t="n">
        <v>1500</v>
      </c>
      <c r="G2454" s="37" t="n">
        <v>0.680580762250454</v>
      </c>
    </row>
    <row r="2455" customFormat="false" ht="15" hidden="false" customHeight="false" outlineLevel="0" collapsed="false">
      <c r="A2455" s="20" t="s">
        <v>2839</v>
      </c>
      <c r="B2455" s="20" t="s">
        <v>194</v>
      </c>
      <c r="C2455" s="9" t="s">
        <v>297</v>
      </c>
      <c r="D2455" s="9" t="n">
        <v>1</v>
      </c>
      <c r="E2455" s="30" t="n">
        <v>2191</v>
      </c>
      <c r="F2455" s="30" t="n">
        <v>329</v>
      </c>
      <c r="G2455" s="35" t="n">
        <v>0.150159744408946</v>
      </c>
    </row>
    <row r="2456" customFormat="false" ht="15" hidden="false" customHeight="false" outlineLevel="0" collapsed="false">
      <c r="A2456" s="25" t="s">
        <v>2840</v>
      </c>
      <c r="B2456" s="25" t="s">
        <v>988</v>
      </c>
      <c r="C2456" s="29" t="s">
        <v>2841</v>
      </c>
      <c r="D2456" s="29" t="n">
        <v>1</v>
      </c>
      <c r="E2456" s="31" t="n">
        <v>2191</v>
      </c>
      <c r="F2456" s="31" t="n">
        <v>2081</v>
      </c>
      <c r="G2456" s="37" t="n">
        <v>0.949794614331356</v>
      </c>
    </row>
    <row r="2457" customFormat="false" ht="15" hidden="false" customHeight="false" outlineLevel="0" collapsed="false">
      <c r="A2457" s="20" t="s">
        <v>2842</v>
      </c>
      <c r="B2457" s="20" t="s">
        <v>200</v>
      </c>
      <c r="C2457" s="9" t="s">
        <v>1009</v>
      </c>
      <c r="D2457" s="9" t="n">
        <v>2</v>
      </c>
      <c r="E2457" s="30" t="n">
        <v>2182</v>
      </c>
      <c r="F2457" s="30" t="n">
        <v>1582</v>
      </c>
      <c r="G2457" s="35" t="n">
        <v>0.725022914757104</v>
      </c>
    </row>
    <row r="2458" customFormat="false" ht="15" hidden="false" customHeight="false" outlineLevel="0" collapsed="false">
      <c r="A2458" s="25" t="s">
        <v>2843</v>
      </c>
      <c r="B2458" s="25" t="s">
        <v>194</v>
      </c>
      <c r="C2458" s="29" t="s">
        <v>231</v>
      </c>
      <c r="D2458" s="29" t="n">
        <v>3</v>
      </c>
      <c r="E2458" s="31" t="n">
        <v>2181</v>
      </c>
      <c r="F2458" s="31" t="n">
        <v>1620</v>
      </c>
      <c r="G2458" s="37" t="n">
        <v>0.742778541953233</v>
      </c>
    </row>
    <row r="2459" customFormat="false" ht="15" hidden="false" customHeight="false" outlineLevel="0" collapsed="false">
      <c r="A2459" s="20" t="s">
        <v>2844</v>
      </c>
      <c r="B2459" s="20" t="s">
        <v>240</v>
      </c>
      <c r="C2459" s="9" t="s">
        <v>768</v>
      </c>
      <c r="D2459" s="9" t="n">
        <v>2</v>
      </c>
      <c r="E2459" s="30" t="n">
        <v>2176</v>
      </c>
      <c r="F2459" s="30" t="n">
        <v>1556</v>
      </c>
      <c r="G2459" s="35" t="n">
        <v>0.715073529411765</v>
      </c>
    </row>
    <row r="2460" customFormat="false" ht="15" hidden="false" customHeight="false" outlineLevel="0" collapsed="false">
      <c r="A2460" s="25" t="s">
        <v>2845</v>
      </c>
      <c r="B2460" s="25" t="s">
        <v>194</v>
      </c>
      <c r="C2460" s="29" t="s">
        <v>223</v>
      </c>
      <c r="D2460" s="29" t="n">
        <v>3</v>
      </c>
      <c r="E2460" s="31" t="n">
        <v>2175</v>
      </c>
      <c r="F2460" s="31" t="n">
        <v>327</v>
      </c>
      <c r="G2460" s="37" t="n">
        <v>0.150344827586207</v>
      </c>
    </row>
    <row r="2461" customFormat="false" ht="15" hidden="false" customHeight="false" outlineLevel="0" collapsed="false">
      <c r="A2461" s="20" t="s">
        <v>2846</v>
      </c>
      <c r="B2461" s="20" t="s">
        <v>2476</v>
      </c>
      <c r="C2461" s="9" t="s">
        <v>316</v>
      </c>
      <c r="D2461" s="9" t="n">
        <v>23</v>
      </c>
      <c r="E2461" s="30" t="n">
        <v>2162</v>
      </c>
      <c r="F2461" s="30" t="n">
        <v>324</v>
      </c>
      <c r="G2461" s="35" t="n">
        <v>0.14986123959297</v>
      </c>
    </row>
    <row r="2462" customFormat="false" ht="15" hidden="false" customHeight="false" outlineLevel="0" collapsed="false">
      <c r="A2462" s="25" t="s">
        <v>2847</v>
      </c>
      <c r="B2462" s="25" t="s">
        <v>194</v>
      </c>
      <c r="C2462" s="29" t="s">
        <v>768</v>
      </c>
      <c r="D2462" s="29" t="n">
        <v>1</v>
      </c>
      <c r="E2462" s="31" t="n">
        <v>2154</v>
      </c>
      <c r="F2462" s="31" t="n">
        <v>522</v>
      </c>
      <c r="G2462" s="37" t="n">
        <v>0.242339832869081</v>
      </c>
    </row>
    <row r="2463" customFormat="false" ht="15" hidden="false" customHeight="false" outlineLevel="0" collapsed="false">
      <c r="A2463" s="20" t="s">
        <v>2848</v>
      </c>
      <c r="B2463" s="20" t="s">
        <v>2849</v>
      </c>
      <c r="C2463" s="9" t="s">
        <v>622</v>
      </c>
      <c r="D2463" s="9" t="n">
        <v>4</v>
      </c>
      <c r="E2463" s="30" t="n">
        <v>2152</v>
      </c>
      <c r="F2463" s="30" t="n">
        <v>1216</v>
      </c>
      <c r="G2463" s="35" t="n">
        <v>0.565055762081784</v>
      </c>
    </row>
    <row r="2464" customFormat="false" ht="15" hidden="false" customHeight="false" outlineLevel="0" collapsed="false">
      <c r="A2464" s="25" t="s">
        <v>2850</v>
      </c>
      <c r="B2464" s="29" t="s">
        <v>866</v>
      </c>
      <c r="C2464" s="29" t="s">
        <v>779</v>
      </c>
      <c r="D2464" s="29" t="n">
        <v>5</v>
      </c>
      <c r="E2464" s="31" t="n">
        <v>2150</v>
      </c>
      <c r="F2464" s="31" t="n">
        <v>1500</v>
      </c>
      <c r="G2464" s="37" t="n">
        <v>0.697674418604651</v>
      </c>
    </row>
    <row r="2465" customFormat="false" ht="15" hidden="false" customHeight="false" outlineLevel="0" collapsed="false">
      <c r="A2465" s="20" t="s">
        <v>2851</v>
      </c>
      <c r="B2465" s="20" t="s">
        <v>194</v>
      </c>
      <c r="C2465" s="9" t="s">
        <v>880</v>
      </c>
      <c r="D2465" s="9" t="n">
        <v>1</v>
      </c>
      <c r="E2465" s="30" t="n">
        <v>2145</v>
      </c>
      <c r="F2465" s="30" t="n">
        <v>322</v>
      </c>
      <c r="G2465" s="35" t="n">
        <v>0.15011655011655</v>
      </c>
    </row>
    <row r="2466" customFormat="false" ht="15" hidden="false" customHeight="false" outlineLevel="0" collapsed="false">
      <c r="A2466" s="25" t="s">
        <v>2852</v>
      </c>
      <c r="B2466" s="25" t="s">
        <v>1834</v>
      </c>
      <c r="C2466" s="29" t="s">
        <v>880</v>
      </c>
      <c r="D2466" s="29" t="n">
        <v>2</v>
      </c>
      <c r="E2466" s="31" t="n">
        <v>2142</v>
      </c>
      <c r="F2466" s="31" t="n">
        <v>322</v>
      </c>
      <c r="G2466" s="37" t="n">
        <v>0.150326797385621</v>
      </c>
    </row>
    <row r="2467" customFormat="false" ht="15" hidden="false" customHeight="false" outlineLevel="0" collapsed="false">
      <c r="A2467" s="20" t="s">
        <v>2853</v>
      </c>
      <c r="B2467" s="20" t="s">
        <v>200</v>
      </c>
      <c r="C2467" s="9" t="s">
        <v>223</v>
      </c>
      <c r="D2467" s="9" t="n">
        <v>2</v>
      </c>
      <c r="E2467" s="30" t="n">
        <v>2142</v>
      </c>
      <c r="F2467" s="30" t="n">
        <v>322</v>
      </c>
      <c r="G2467" s="35" t="n">
        <v>0.150326797385621</v>
      </c>
    </row>
    <row r="2468" customFormat="false" ht="15" hidden="false" customHeight="false" outlineLevel="0" collapsed="false">
      <c r="A2468" s="25" t="s">
        <v>2854</v>
      </c>
      <c r="B2468" s="29" t="s">
        <v>253</v>
      </c>
      <c r="C2468" s="29" t="s">
        <v>223</v>
      </c>
      <c r="D2468" s="29" t="n">
        <v>4</v>
      </c>
      <c r="E2468" s="31" t="n">
        <v>2136</v>
      </c>
      <c r="F2468" s="31" t="n">
        <v>432</v>
      </c>
      <c r="G2468" s="37" t="n">
        <v>0.202247191011236</v>
      </c>
    </row>
    <row r="2469" customFormat="false" ht="15" hidden="false" customHeight="false" outlineLevel="0" collapsed="false">
      <c r="A2469" s="20" t="s">
        <v>2855</v>
      </c>
      <c r="B2469" s="20" t="s">
        <v>1973</v>
      </c>
      <c r="C2469" s="9" t="s">
        <v>368</v>
      </c>
      <c r="D2469" s="9" t="n">
        <v>35</v>
      </c>
      <c r="E2469" s="30" t="n">
        <v>2135</v>
      </c>
      <c r="F2469" s="30" t="n">
        <v>317</v>
      </c>
      <c r="G2469" s="35" t="n">
        <v>0.14847775175644</v>
      </c>
    </row>
    <row r="2470" customFormat="false" ht="15" hidden="false" customHeight="false" outlineLevel="0" collapsed="false">
      <c r="A2470" s="25" t="s">
        <v>2856</v>
      </c>
      <c r="B2470" s="29" t="s">
        <v>216</v>
      </c>
      <c r="C2470" s="29" t="s">
        <v>428</v>
      </c>
      <c r="D2470" s="29" t="n">
        <v>1</v>
      </c>
      <c r="E2470" s="31" t="n">
        <v>2133</v>
      </c>
      <c r="F2470" s="31" t="n">
        <v>1217</v>
      </c>
      <c r="G2470" s="37" t="n">
        <v>0.570557899671824</v>
      </c>
    </row>
    <row r="2471" customFormat="false" ht="15" hidden="false" customHeight="false" outlineLevel="0" collapsed="false">
      <c r="A2471" s="20" t="s">
        <v>2857</v>
      </c>
      <c r="B2471" s="20" t="s">
        <v>220</v>
      </c>
      <c r="C2471" s="9" t="s">
        <v>217</v>
      </c>
      <c r="D2471" s="9" t="n">
        <v>1</v>
      </c>
      <c r="E2471" s="30" t="n">
        <v>2124</v>
      </c>
      <c r="F2471" s="30" t="n">
        <v>324</v>
      </c>
      <c r="G2471" s="35" t="n">
        <v>0.152542372881356</v>
      </c>
    </row>
    <row r="2472" customFormat="false" ht="15" hidden="false" customHeight="false" outlineLevel="0" collapsed="false">
      <c r="A2472" s="25" t="s">
        <v>2858</v>
      </c>
      <c r="B2472" s="25" t="s">
        <v>194</v>
      </c>
      <c r="C2472" s="29" t="s">
        <v>203</v>
      </c>
      <c r="D2472" s="29" t="n">
        <v>4</v>
      </c>
      <c r="E2472" s="31" t="n">
        <v>2120</v>
      </c>
      <c r="F2472" s="31" t="n">
        <v>1640</v>
      </c>
      <c r="G2472" s="37" t="n">
        <v>0.773584905660377</v>
      </c>
    </row>
    <row r="2473" customFormat="false" ht="15" hidden="false" customHeight="false" outlineLevel="0" collapsed="false">
      <c r="A2473" s="20" t="s">
        <v>2859</v>
      </c>
      <c r="B2473" s="20" t="s">
        <v>891</v>
      </c>
      <c r="C2473" s="9" t="s">
        <v>229</v>
      </c>
      <c r="D2473" s="9" t="n">
        <v>1</v>
      </c>
      <c r="E2473" s="30" t="n">
        <v>2114</v>
      </c>
      <c r="F2473" s="30" t="n">
        <v>317</v>
      </c>
      <c r="G2473" s="35" t="n">
        <v>0.149952696310312</v>
      </c>
    </row>
    <row r="2474" customFormat="false" ht="15" hidden="false" customHeight="false" outlineLevel="0" collapsed="false">
      <c r="A2474" s="25" t="s">
        <v>2860</v>
      </c>
      <c r="B2474" s="25" t="s">
        <v>194</v>
      </c>
      <c r="C2474" s="29" t="s">
        <v>223</v>
      </c>
      <c r="D2474" s="29" t="n">
        <v>1</v>
      </c>
      <c r="E2474" s="31" t="n">
        <v>2114</v>
      </c>
      <c r="F2474" s="31" t="n">
        <v>317</v>
      </c>
      <c r="G2474" s="37" t="n">
        <v>0.149952696310312</v>
      </c>
    </row>
    <row r="2475" customFormat="false" ht="15" hidden="false" customHeight="false" outlineLevel="0" collapsed="false">
      <c r="A2475" s="20" t="s">
        <v>2861</v>
      </c>
      <c r="B2475" s="20" t="s">
        <v>194</v>
      </c>
      <c r="C2475" s="9" t="s">
        <v>197</v>
      </c>
      <c r="D2475" s="9" t="n">
        <v>1</v>
      </c>
      <c r="E2475" s="30" t="n">
        <v>2108</v>
      </c>
      <c r="F2475" s="30" t="n">
        <v>458</v>
      </c>
      <c r="G2475" s="35" t="n">
        <v>0.217267552182163</v>
      </c>
    </row>
    <row r="2476" customFormat="false" ht="15" hidden="false" customHeight="false" outlineLevel="0" collapsed="false">
      <c r="A2476" s="25" t="s">
        <v>2862</v>
      </c>
      <c r="B2476" s="29" t="s">
        <v>253</v>
      </c>
      <c r="C2476" s="29" t="s">
        <v>223</v>
      </c>
      <c r="D2476" s="29" t="n">
        <v>3</v>
      </c>
      <c r="E2476" s="31" t="n">
        <v>2103</v>
      </c>
      <c r="F2476" s="31" t="n">
        <v>315</v>
      </c>
      <c r="G2476" s="37" t="n">
        <v>0.149786019971469</v>
      </c>
    </row>
    <row r="2477" customFormat="false" ht="15" hidden="false" customHeight="false" outlineLevel="0" collapsed="false">
      <c r="A2477" s="20" t="s">
        <v>2863</v>
      </c>
      <c r="B2477" s="9" t="s">
        <v>253</v>
      </c>
      <c r="C2477" s="9" t="s">
        <v>428</v>
      </c>
      <c r="D2477" s="9" t="n">
        <v>3</v>
      </c>
      <c r="E2477" s="30" t="n">
        <v>2100</v>
      </c>
      <c r="F2477" s="30" t="n">
        <v>1266</v>
      </c>
      <c r="G2477" s="35" t="n">
        <v>0.602857142857143</v>
      </c>
    </row>
    <row r="2478" customFormat="false" ht="15" hidden="false" customHeight="false" outlineLevel="0" collapsed="false">
      <c r="A2478" s="25" t="s">
        <v>2864</v>
      </c>
      <c r="B2478" s="25" t="s">
        <v>194</v>
      </c>
      <c r="C2478" s="29" t="s">
        <v>223</v>
      </c>
      <c r="D2478" s="29" t="n">
        <v>1</v>
      </c>
      <c r="E2478" s="31" t="n">
        <v>2090</v>
      </c>
      <c r="F2478" s="31" t="n">
        <v>313</v>
      </c>
      <c r="G2478" s="37" t="n">
        <v>0.149760765550239</v>
      </c>
    </row>
    <row r="2479" customFormat="false" ht="15" hidden="false" customHeight="false" outlineLevel="0" collapsed="false">
      <c r="A2479" s="20" t="s">
        <v>2865</v>
      </c>
      <c r="B2479" s="20" t="s">
        <v>194</v>
      </c>
      <c r="C2479" s="9" t="s">
        <v>223</v>
      </c>
      <c r="D2479" s="9" t="n">
        <v>1</v>
      </c>
      <c r="E2479" s="30" t="n">
        <v>2084</v>
      </c>
      <c r="F2479" s="30" t="n">
        <v>313</v>
      </c>
      <c r="G2479" s="35" t="n">
        <v>0.150191938579655</v>
      </c>
    </row>
    <row r="2480" customFormat="false" ht="15" hidden="false" customHeight="false" outlineLevel="0" collapsed="false">
      <c r="A2480" s="25" t="s">
        <v>2866</v>
      </c>
      <c r="B2480" s="25" t="s">
        <v>194</v>
      </c>
      <c r="C2480" s="29" t="s">
        <v>334</v>
      </c>
      <c r="D2480" s="29" t="n">
        <v>4</v>
      </c>
      <c r="E2480" s="31" t="n">
        <v>2084</v>
      </c>
      <c r="F2480" s="31" t="n">
        <v>1344</v>
      </c>
      <c r="G2480" s="37" t="n">
        <v>0.644913627639156</v>
      </c>
    </row>
    <row r="2481" customFormat="false" ht="15" hidden="false" customHeight="false" outlineLevel="0" collapsed="false">
      <c r="A2481" s="20" t="s">
        <v>2867</v>
      </c>
      <c r="B2481" s="20" t="s">
        <v>194</v>
      </c>
      <c r="C2481" s="9" t="s">
        <v>203</v>
      </c>
      <c r="D2481" s="9" t="n">
        <v>1</v>
      </c>
      <c r="E2481" s="30" t="n">
        <v>2082</v>
      </c>
      <c r="F2481" s="30" t="n">
        <v>1582</v>
      </c>
      <c r="G2481" s="35" t="n">
        <v>0.759846301633045</v>
      </c>
    </row>
    <row r="2482" customFormat="false" ht="15" hidden="false" customHeight="false" outlineLevel="0" collapsed="false">
      <c r="A2482" s="25" t="s">
        <v>2868</v>
      </c>
      <c r="B2482" s="25" t="s">
        <v>200</v>
      </c>
      <c r="C2482" s="29" t="s">
        <v>223</v>
      </c>
      <c r="D2482" s="29" t="n">
        <v>2</v>
      </c>
      <c r="E2482" s="31" t="n">
        <v>2068</v>
      </c>
      <c r="F2482" s="31" t="n">
        <v>950</v>
      </c>
      <c r="G2482" s="37" t="n">
        <v>0.459381044487427</v>
      </c>
    </row>
    <row r="2483" customFormat="false" ht="15" hidden="false" customHeight="false" outlineLevel="0" collapsed="false">
      <c r="A2483" s="20" t="s">
        <v>2869</v>
      </c>
      <c r="B2483" s="20" t="s">
        <v>200</v>
      </c>
      <c r="C2483" s="9" t="s">
        <v>223</v>
      </c>
      <c r="D2483" s="9" t="n">
        <v>3</v>
      </c>
      <c r="E2483" s="30" t="n">
        <v>2064</v>
      </c>
      <c r="F2483" s="30" t="n">
        <v>309</v>
      </c>
      <c r="G2483" s="35" t="n">
        <v>0.149709302325581</v>
      </c>
    </row>
    <row r="2484" customFormat="false" ht="15" hidden="false" customHeight="false" outlineLevel="0" collapsed="false">
      <c r="A2484" s="25" t="s">
        <v>2870</v>
      </c>
      <c r="B2484" s="25" t="s">
        <v>240</v>
      </c>
      <c r="C2484" s="29" t="s">
        <v>439</v>
      </c>
      <c r="D2484" s="29" t="n">
        <v>1</v>
      </c>
      <c r="E2484" s="31" t="n">
        <v>2055</v>
      </c>
      <c r="F2484" s="31" t="n">
        <v>308</v>
      </c>
      <c r="G2484" s="37" t="n">
        <v>0.149878345498783</v>
      </c>
    </row>
    <row r="2485" customFormat="false" ht="15" hidden="false" customHeight="false" outlineLevel="0" collapsed="false">
      <c r="A2485" s="20" t="s">
        <v>2871</v>
      </c>
      <c r="B2485" s="9" t="s">
        <v>253</v>
      </c>
      <c r="C2485" s="9" t="s">
        <v>223</v>
      </c>
      <c r="D2485" s="9" t="n">
        <v>2</v>
      </c>
      <c r="E2485" s="30" t="n">
        <v>2040</v>
      </c>
      <c r="F2485" s="30" t="n">
        <v>306</v>
      </c>
      <c r="G2485" s="35" t="n">
        <v>0.15</v>
      </c>
    </row>
    <row r="2486" customFormat="false" ht="15" hidden="false" customHeight="false" outlineLevel="0" collapsed="false">
      <c r="A2486" s="25" t="s">
        <v>2872</v>
      </c>
      <c r="B2486" s="29" t="s">
        <v>1290</v>
      </c>
      <c r="C2486" s="29" t="s">
        <v>209</v>
      </c>
      <c r="D2486" s="29" t="n">
        <v>12</v>
      </c>
      <c r="E2486" s="31" t="n">
        <v>2040</v>
      </c>
      <c r="F2486" s="31" t="n">
        <v>303</v>
      </c>
      <c r="G2486" s="37" t="n">
        <v>0.148529411764706</v>
      </c>
    </row>
    <row r="2487" customFormat="false" ht="15" hidden="false" customHeight="false" outlineLevel="0" collapsed="false">
      <c r="A2487" s="20" t="s">
        <v>2873</v>
      </c>
      <c r="B2487" s="9" t="s">
        <v>2874</v>
      </c>
      <c r="C2487" s="9" t="s">
        <v>290</v>
      </c>
      <c r="D2487" s="9" t="n">
        <v>30</v>
      </c>
      <c r="E2487" s="30" t="n">
        <v>2040</v>
      </c>
      <c r="F2487" s="30" t="n">
        <v>-360</v>
      </c>
      <c r="G2487" s="35" t="n">
        <v>-0.176470588235294</v>
      </c>
    </row>
    <row r="2488" customFormat="false" ht="15" hidden="false" customHeight="false" outlineLevel="0" collapsed="false">
      <c r="A2488" s="25" t="s">
        <v>2875</v>
      </c>
      <c r="B2488" s="25" t="s">
        <v>194</v>
      </c>
      <c r="C2488" s="29" t="s">
        <v>195</v>
      </c>
      <c r="D2488" s="29" t="n">
        <v>2</v>
      </c>
      <c r="E2488" s="31" t="n">
        <v>2036</v>
      </c>
      <c r="F2488" s="31" t="n">
        <v>305</v>
      </c>
      <c r="G2488" s="37" t="n">
        <v>0.149803536345776</v>
      </c>
    </row>
    <row r="2489" customFormat="false" ht="15" hidden="false" customHeight="false" outlineLevel="0" collapsed="false">
      <c r="A2489" s="20" t="s">
        <v>2876</v>
      </c>
      <c r="B2489" s="9"/>
      <c r="C2489" s="9" t="s">
        <v>428</v>
      </c>
      <c r="D2489" s="9" t="n">
        <v>2</v>
      </c>
      <c r="E2489" s="30" t="n">
        <v>2032</v>
      </c>
      <c r="F2489" s="30" t="n">
        <v>934</v>
      </c>
      <c r="G2489" s="35" t="n">
        <v>0.459645669291339</v>
      </c>
    </row>
    <row r="2490" customFormat="false" ht="15" hidden="false" customHeight="false" outlineLevel="0" collapsed="false">
      <c r="A2490" s="25" t="s">
        <v>2877</v>
      </c>
      <c r="B2490" s="25" t="s">
        <v>194</v>
      </c>
      <c r="C2490" s="29" t="s">
        <v>297</v>
      </c>
      <c r="D2490" s="29" t="n">
        <v>1</v>
      </c>
      <c r="E2490" s="31" t="n">
        <v>2025</v>
      </c>
      <c r="F2490" s="31" t="n">
        <v>304</v>
      </c>
      <c r="G2490" s="37" t="n">
        <v>0.150123456790123</v>
      </c>
    </row>
    <row r="2491" customFormat="false" ht="15" hidden="false" customHeight="false" outlineLevel="0" collapsed="false">
      <c r="A2491" s="20" t="s">
        <v>2878</v>
      </c>
      <c r="B2491" s="20" t="s">
        <v>194</v>
      </c>
      <c r="C2491" s="9" t="s">
        <v>223</v>
      </c>
      <c r="D2491" s="9" t="n">
        <v>3</v>
      </c>
      <c r="E2491" s="30" t="n">
        <v>2010</v>
      </c>
      <c r="F2491" s="30" t="n">
        <v>300</v>
      </c>
      <c r="G2491" s="35" t="n">
        <v>0.149253731343284</v>
      </c>
    </row>
    <row r="2492" customFormat="false" ht="15" hidden="false" customHeight="false" outlineLevel="0" collapsed="false">
      <c r="A2492" s="25" t="s">
        <v>2879</v>
      </c>
      <c r="B2492" s="25" t="s">
        <v>2832</v>
      </c>
      <c r="C2492" s="29" t="s">
        <v>203</v>
      </c>
      <c r="D2492" s="29" t="n">
        <v>4</v>
      </c>
      <c r="E2492" s="31" t="n">
        <v>2006</v>
      </c>
      <c r="F2492" s="31" t="n">
        <v>301</v>
      </c>
      <c r="G2492" s="37" t="n">
        <v>0.150049850448654</v>
      </c>
    </row>
    <row r="2493" customFormat="false" ht="15" hidden="false" customHeight="false" outlineLevel="0" collapsed="false">
      <c r="A2493" s="20" t="s">
        <v>2880</v>
      </c>
      <c r="B2493" s="9" t="s">
        <v>253</v>
      </c>
      <c r="C2493" s="9" t="s">
        <v>223</v>
      </c>
      <c r="D2493" s="9" t="n">
        <v>2</v>
      </c>
      <c r="E2493" s="30" t="n">
        <v>2006</v>
      </c>
      <c r="F2493" s="30" t="n">
        <v>1556</v>
      </c>
      <c r="G2493" s="35" t="n">
        <v>0.77567298105683</v>
      </c>
    </row>
    <row r="2494" customFormat="false" ht="15" hidden="false" customHeight="false" outlineLevel="0" collapsed="false">
      <c r="A2494" s="25" t="s">
        <v>2881</v>
      </c>
      <c r="B2494" s="25" t="s">
        <v>194</v>
      </c>
      <c r="C2494" s="29" t="s">
        <v>217</v>
      </c>
      <c r="D2494" s="29" t="n">
        <v>1</v>
      </c>
      <c r="E2494" s="31" t="n">
        <v>2000</v>
      </c>
      <c r="F2494" s="31" t="n">
        <v>-1765</v>
      </c>
      <c r="G2494" s="37" t="n">
        <v>-0.8825</v>
      </c>
    </row>
    <row r="2495" customFormat="false" ht="15" hidden="false" customHeight="false" outlineLevel="0" collapsed="false">
      <c r="A2495" s="20" t="s">
        <v>2882</v>
      </c>
      <c r="B2495" s="20" t="s">
        <v>194</v>
      </c>
      <c r="C2495" s="9" t="s">
        <v>203</v>
      </c>
      <c r="D2495" s="9" t="n">
        <v>4</v>
      </c>
      <c r="E2495" s="30" t="n">
        <v>2000</v>
      </c>
      <c r="F2495" s="30" t="n">
        <v>-20</v>
      </c>
      <c r="G2495" s="35" t="n">
        <v>-0.01</v>
      </c>
    </row>
    <row r="2496" customFormat="false" ht="15" hidden="false" customHeight="false" outlineLevel="0" collapsed="false">
      <c r="A2496" s="25" t="s">
        <v>2883</v>
      </c>
      <c r="B2496" s="25" t="s">
        <v>240</v>
      </c>
      <c r="C2496" s="29" t="s">
        <v>203</v>
      </c>
      <c r="D2496" s="29" t="n">
        <v>1</v>
      </c>
      <c r="E2496" s="31" t="n">
        <v>2000</v>
      </c>
      <c r="F2496" s="31" t="n">
        <v>1450</v>
      </c>
      <c r="G2496" s="37" t="n">
        <v>0.725</v>
      </c>
    </row>
    <row r="2497" customFormat="false" ht="15" hidden="false" customHeight="false" outlineLevel="0" collapsed="false">
      <c r="A2497" s="20" t="s">
        <v>2884</v>
      </c>
      <c r="B2497" s="20" t="s">
        <v>194</v>
      </c>
      <c r="C2497" s="9" t="s">
        <v>485</v>
      </c>
      <c r="D2497" s="9" t="n">
        <v>1</v>
      </c>
      <c r="E2497" s="30" t="n">
        <v>1995</v>
      </c>
      <c r="F2497" s="30" t="n">
        <v>1008</v>
      </c>
      <c r="G2497" s="35" t="n">
        <v>0.505263157894737</v>
      </c>
    </row>
    <row r="2498" customFormat="false" ht="15" hidden="false" customHeight="false" outlineLevel="0" collapsed="false">
      <c r="A2498" s="25" t="s">
        <v>2885</v>
      </c>
      <c r="B2498" s="25" t="s">
        <v>194</v>
      </c>
      <c r="C2498" s="29" t="s">
        <v>203</v>
      </c>
      <c r="D2498" s="29" t="n">
        <v>1</v>
      </c>
      <c r="E2498" s="31" t="n">
        <v>1993</v>
      </c>
      <c r="F2498" s="31" t="n">
        <v>299</v>
      </c>
      <c r="G2498" s="37" t="n">
        <v>0.150025087807326</v>
      </c>
    </row>
    <row r="2499" customFormat="false" ht="15" hidden="false" customHeight="false" outlineLevel="0" collapsed="false">
      <c r="A2499" s="20" t="s">
        <v>2886</v>
      </c>
      <c r="B2499" s="9" t="s">
        <v>216</v>
      </c>
      <c r="C2499" s="9" t="s">
        <v>428</v>
      </c>
      <c r="D2499" s="9" t="n">
        <v>3</v>
      </c>
      <c r="E2499" s="30" t="n">
        <v>1992</v>
      </c>
      <c r="F2499" s="30" t="n">
        <v>942</v>
      </c>
      <c r="G2499" s="35" t="n">
        <v>0.47289156626506</v>
      </c>
    </row>
    <row r="2500" customFormat="false" ht="15" hidden="false" customHeight="false" outlineLevel="0" collapsed="false">
      <c r="A2500" s="25" t="s">
        <v>2887</v>
      </c>
      <c r="B2500" s="25" t="s">
        <v>194</v>
      </c>
      <c r="C2500" s="29" t="s">
        <v>195</v>
      </c>
      <c r="D2500" s="29" t="n">
        <v>2</v>
      </c>
      <c r="E2500" s="31" t="n">
        <v>1990</v>
      </c>
      <c r="F2500" s="31" t="n">
        <v>534</v>
      </c>
      <c r="G2500" s="37" t="n">
        <v>0.268341708542714</v>
      </c>
    </row>
    <row r="2501" customFormat="false" ht="15" hidden="false" customHeight="false" outlineLevel="0" collapsed="false">
      <c r="A2501" s="20" t="s">
        <v>2888</v>
      </c>
      <c r="B2501" s="9" t="s">
        <v>253</v>
      </c>
      <c r="C2501" s="9" t="s">
        <v>223</v>
      </c>
      <c r="D2501" s="9" t="n">
        <v>6</v>
      </c>
      <c r="E2501" s="30" t="n">
        <v>1986</v>
      </c>
      <c r="F2501" s="30" t="n">
        <v>298</v>
      </c>
      <c r="G2501" s="35" t="n">
        <v>0.150050352467271</v>
      </c>
    </row>
    <row r="2502" customFormat="false" ht="15" hidden="false" customHeight="false" outlineLevel="0" collapsed="false">
      <c r="A2502" s="25" t="s">
        <v>2889</v>
      </c>
      <c r="B2502" s="25" t="s">
        <v>194</v>
      </c>
      <c r="C2502" s="29" t="s">
        <v>217</v>
      </c>
      <c r="D2502" s="29" t="n">
        <v>1</v>
      </c>
      <c r="E2502" s="31" t="n">
        <v>1976</v>
      </c>
      <c r="F2502" s="31" t="n">
        <v>1179</v>
      </c>
      <c r="G2502" s="37" t="n">
        <v>0.59665991902834</v>
      </c>
    </row>
    <row r="2503" customFormat="false" ht="15" hidden="false" customHeight="false" outlineLevel="0" collapsed="false">
      <c r="A2503" s="20" t="s">
        <v>2890</v>
      </c>
      <c r="B2503" s="20" t="s">
        <v>200</v>
      </c>
      <c r="C2503" s="9" t="s">
        <v>1885</v>
      </c>
      <c r="D2503" s="9" t="n">
        <v>2</v>
      </c>
      <c r="E2503" s="30" t="n">
        <v>1972</v>
      </c>
      <c r="F2503" s="30" t="n">
        <v>296</v>
      </c>
      <c r="G2503" s="35" t="n">
        <v>0.150101419878296</v>
      </c>
    </row>
    <row r="2504" customFormat="false" ht="15" hidden="false" customHeight="false" outlineLevel="0" collapsed="false">
      <c r="A2504" s="25" t="s">
        <v>2891</v>
      </c>
      <c r="B2504" s="29" t="s">
        <v>253</v>
      </c>
      <c r="C2504" s="29" t="s">
        <v>428</v>
      </c>
      <c r="D2504" s="29" t="n">
        <v>1</v>
      </c>
      <c r="E2504" s="31" t="n">
        <v>1970</v>
      </c>
      <c r="F2504" s="31" t="n">
        <v>1030</v>
      </c>
      <c r="G2504" s="37" t="n">
        <v>0.522842639593909</v>
      </c>
    </row>
    <row r="2505" customFormat="false" ht="15" hidden="false" customHeight="false" outlineLevel="0" collapsed="false">
      <c r="A2505" s="20" t="s">
        <v>2892</v>
      </c>
      <c r="B2505" s="9" t="s">
        <v>253</v>
      </c>
      <c r="C2505" s="9" t="s">
        <v>254</v>
      </c>
      <c r="D2505" s="9" t="n">
        <v>4</v>
      </c>
      <c r="E2505" s="30" t="n">
        <v>1968</v>
      </c>
      <c r="F2505" s="30" t="n">
        <v>252</v>
      </c>
      <c r="G2505" s="35" t="n">
        <v>0.128048780487805</v>
      </c>
    </row>
    <row r="2506" customFormat="false" ht="15" hidden="false" customHeight="false" outlineLevel="0" collapsed="false">
      <c r="A2506" s="25" t="s">
        <v>2893</v>
      </c>
      <c r="B2506" s="25" t="s">
        <v>1027</v>
      </c>
      <c r="C2506" s="29" t="s">
        <v>297</v>
      </c>
      <c r="D2506" s="29" t="n">
        <v>1</v>
      </c>
      <c r="E2506" s="31" t="n">
        <v>1956</v>
      </c>
      <c r="F2506" s="31" t="n">
        <v>293</v>
      </c>
      <c r="G2506" s="37" t="n">
        <v>0.149795501022495</v>
      </c>
    </row>
    <row r="2507" customFormat="false" ht="15" hidden="false" customHeight="false" outlineLevel="0" collapsed="false">
      <c r="A2507" s="20" t="s">
        <v>2894</v>
      </c>
      <c r="B2507" s="9" t="s">
        <v>962</v>
      </c>
      <c r="C2507" s="9" t="s">
        <v>229</v>
      </c>
      <c r="D2507" s="9" t="n">
        <v>1</v>
      </c>
      <c r="E2507" s="30" t="n">
        <v>1950</v>
      </c>
      <c r="F2507" s="30" t="n">
        <v>947</v>
      </c>
      <c r="G2507" s="35" t="n">
        <v>0.485641025641026</v>
      </c>
    </row>
    <row r="2508" customFormat="false" ht="15" hidden="false" customHeight="false" outlineLevel="0" collapsed="false">
      <c r="A2508" s="25" t="s">
        <v>2895</v>
      </c>
      <c r="B2508" s="25" t="s">
        <v>220</v>
      </c>
      <c r="C2508" s="29" t="s">
        <v>439</v>
      </c>
      <c r="D2508" s="29" t="n">
        <v>1</v>
      </c>
      <c r="E2508" s="31" t="n">
        <v>1937</v>
      </c>
      <c r="F2508" s="31" t="n">
        <v>291</v>
      </c>
      <c r="G2508" s="37" t="n">
        <v>0.150232318017553</v>
      </c>
    </row>
    <row r="2509" customFormat="false" ht="15" hidden="false" customHeight="false" outlineLevel="0" collapsed="false">
      <c r="A2509" s="20" t="s">
        <v>2896</v>
      </c>
      <c r="B2509" s="20" t="s">
        <v>200</v>
      </c>
      <c r="C2509" s="9" t="s">
        <v>880</v>
      </c>
      <c r="D2509" s="9" t="n">
        <v>4</v>
      </c>
      <c r="E2509" s="30" t="n">
        <v>1932</v>
      </c>
      <c r="F2509" s="30" t="n">
        <v>320</v>
      </c>
      <c r="G2509" s="35" t="n">
        <v>0.165631469979296</v>
      </c>
    </row>
    <row r="2510" customFormat="false" ht="15" hidden="false" customHeight="false" outlineLevel="0" collapsed="false">
      <c r="A2510" s="25" t="s">
        <v>2897</v>
      </c>
      <c r="B2510" s="25" t="s">
        <v>240</v>
      </c>
      <c r="C2510" s="29" t="s">
        <v>768</v>
      </c>
      <c r="D2510" s="29" t="n">
        <v>2</v>
      </c>
      <c r="E2510" s="31" t="n">
        <v>1928</v>
      </c>
      <c r="F2510" s="31" t="n">
        <v>1148</v>
      </c>
      <c r="G2510" s="37" t="n">
        <v>0.595435684647303</v>
      </c>
    </row>
    <row r="2511" customFormat="false" ht="15" hidden="false" customHeight="false" outlineLevel="0" collapsed="false">
      <c r="A2511" s="20" t="s">
        <v>2898</v>
      </c>
      <c r="B2511" s="20" t="s">
        <v>194</v>
      </c>
      <c r="C2511" s="9" t="s">
        <v>203</v>
      </c>
      <c r="D2511" s="9" t="n">
        <v>1</v>
      </c>
      <c r="E2511" s="30" t="n">
        <v>1924</v>
      </c>
      <c r="F2511" s="30" t="n">
        <v>1424</v>
      </c>
      <c r="G2511" s="35" t="n">
        <v>0.74012474012474</v>
      </c>
    </row>
    <row r="2512" customFormat="false" ht="15" hidden="false" customHeight="false" outlineLevel="0" collapsed="false">
      <c r="A2512" s="25" t="s">
        <v>2899</v>
      </c>
      <c r="B2512" s="25" t="s">
        <v>240</v>
      </c>
      <c r="C2512" s="29" t="s">
        <v>380</v>
      </c>
      <c r="D2512" s="29" t="n">
        <v>4</v>
      </c>
      <c r="E2512" s="31" t="n">
        <v>1920</v>
      </c>
      <c r="F2512" s="31" t="n">
        <v>288</v>
      </c>
      <c r="G2512" s="37" t="n">
        <v>0.15</v>
      </c>
    </row>
    <row r="2513" customFormat="false" ht="15" hidden="false" customHeight="false" outlineLevel="0" collapsed="false">
      <c r="A2513" s="20" t="s">
        <v>2900</v>
      </c>
      <c r="B2513" s="20" t="s">
        <v>194</v>
      </c>
      <c r="C2513" s="9" t="s">
        <v>203</v>
      </c>
      <c r="D2513" s="9" t="n">
        <v>4</v>
      </c>
      <c r="E2513" s="30" t="n">
        <v>1920</v>
      </c>
      <c r="F2513" s="30" t="n">
        <v>1440</v>
      </c>
      <c r="G2513" s="35" t="n">
        <v>0.75</v>
      </c>
    </row>
    <row r="2514" customFormat="false" ht="15" hidden="false" customHeight="false" outlineLevel="0" collapsed="false">
      <c r="A2514" s="25" t="s">
        <v>2901</v>
      </c>
      <c r="B2514" s="29" t="s">
        <v>1290</v>
      </c>
      <c r="C2514" s="29" t="s">
        <v>209</v>
      </c>
      <c r="D2514" s="29" t="n">
        <v>11</v>
      </c>
      <c r="E2514" s="31" t="n">
        <v>1914</v>
      </c>
      <c r="F2514" s="31" t="n">
        <v>286</v>
      </c>
      <c r="G2514" s="37" t="n">
        <v>0.149425287356322</v>
      </c>
    </row>
    <row r="2515" customFormat="false" ht="15" hidden="false" customHeight="false" outlineLevel="0" collapsed="false">
      <c r="A2515" s="20" t="s">
        <v>2902</v>
      </c>
      <c r="B2515" s="9" t="s">
        <v>253</v>
      </c>
      <c r="C2515" s="9" t="s">
        <v>428</v>
      </c>
      <c r="D2515" s="9" t="n">
        <v>1</v>
      </c>
      <c r="E2515" s="30" t="n">
        <v>1900</v>
      </c>
      <c r="F2515" s="30" t="n">
        <v>373</v>
      </c>
      <c r="G2515" s="35" t="n">
        <v>0.196315789473684</v>
      </c>
    </row>
    <row r="2516" customFormat="false" ht="15" hidden="false" customHeight="false" outlineLevel="0" collapsed="false">
      <c r="A2516" s="25" t="s">
        <v>2903</v>
      </c>
      <c r="B2516" s="29" t="s">
        <v>253</v>
      </c>
      <c r="C2516" s="29" t="s">
        <v>428</v>
      </c>
      <c r="D2516" s="29" t="n">
        <v>12</v>
      </c>
      <c r="E2516" s="31" t="n">
        <v>1896</v>
      </c>
      <c r="F2516" s="31" t="n">
        <v>948</v>
      </c>
      <c r="G2516" s="37" t="n">
        <v>0.5</v>
      </c>
    </row>
    <row r="2517" customFormat="false" ht="15" hidden="false" customHeight="false" outlineLevel="0" collapsed="false">
      <c r="A2517" s="20" t="s">
        <v>2904</v>
      </c>
      <c r="B2517" s="20" t="s">
        <v>988</v>
      </c>
      <c r="C2517" s="9" t="s">
        <v>368</v>
      </c>
      <c r="D2517" s="9" t="n">
        <v>2</v>
      </c>
      <c r="E2517" s="30" t="n">
        <v>1894</v>
      </c>
      <c r="F2517" s="30" t="n">
        <v>1608</v>
      </c>
      <c r="G2517" s="35" t="n">
        <v>0.848996832101373</v>
      </c>
    </row>
    <row r="2518" customFormat="false" ht="15" hidden="false" customHeight="false" outlineLevel="0" collapsed="false">
      <c r="A2518" s="25" t="s">
        <v>2905</v>
      </c>
      <c r="B2518" s="29" t="s">
        <v>962</v>
      </c>
      <c r="C2518" s="29" t="s">
        <v>203</v>
      </c>
      <c r="D2518" s="29" t="n">
        <v>2</v>
      </c>
      <c r="E2518" s="31" t="n">
        <v>1890</v>
      </c>
      <c r="F2518" s="31" t="n">
        <v>283</v>
      </c>
      <c r="G2518" s="37" t="n">
        <v>0.14973544973545</v>
      </c>
    </row>
    <row r="2519" customFormat="false" ht="15" hidden="false" customHeight="false" outlineLevel="0" collapsed="false">
      <c r="A2519" s="20" t="s">
        <v>2906</v>
      </c>
      <c r="B2519" s="20" t="s">
        <v>194</v>
      </c>
      <c r="C2519" s="9" t="s">
        <v>768</v>
      </c>
      <c r="D2519" s="9" t="n">
        <v>1</v>
      </c>
      <c r="E2519" s="30" t="n">
        <v>1886</v>
      </c>
      <c r="F2519" s="30" t="n">
        <v>283</v>
      </c>
      <c r="G2519" s="35" t="n">
        <v>0.150053022269353</v>
      </c>
    </row>
    <row r="2520" customFormat="false" ht="15" hidden="false" customHeight="false" outlineLevel="0" collapsed="false">
      <c r="A2520" s="25" t="s">
        <v>2907</v>
      </c>
      <c r="B2520" s="25" t="s">
        <v>200</v>
      </c>
      <c r="C2520" s="29" t="s">
        <v>223</v>
      </c>
      <c r="D2520" s="29" t="n">
        <v>1</v>
      </c>
      <c r="E2520" s="31" t="n">
        <v>1870</v>
      </c>
      <c r="F2520" s="31" t="n">
        <v>280</v>
      </c>
      <c r="G2520" s="37" t="n">
        <v>0.149732620320856</v>
      </c>
    </row>
    <row r="2521" customFormat="false" ht="15" hidden="false" customHeight="false" outlineLevel="0" collapsed="false">
      <c r="A2521" s="20" t="s">
        <v>2908</v>
      </c>
      <c r="B2521" s="9" t="s">
        <v>253</v>
      </c>
      <c r="C2521" s="9" t="s">
        <v>439</v>
      </c>
      <c r="D2521" s="9" t="n">
        <v>1</v>
      </c>
      <c r="E2521" s="30" t="n">
        <v>1869</v>
      </c>
      <c r="F2521" s="30" t="n">
        <v>280</v>
      </c>
      <c r="G2521" s="35" t="n">
        <v>0.149812734082397</v>
      </c>
    </row>
    <row r="2522" customFormat="false" ht="15" hidden="false" customHeight="false" outlineLevel="0" collapsed="false">
      <c r="A2522" s="25" t="s">
        <v>2909</v>
      </c>
      <c r="B2522" s="25" t="s">
        <v>194</v>
      </c>
      <c r="C2522" s="29" t="s">
        <v>223</v>
      </c>
      <c r="D2522" s="29" t="n">
        <v>1</v>
      </c>
      <c r="E2522" s="31" t="n">
        <v>1867</v>
      </c>
      <c r="F2522" s="31" t="n">
        <v>280</v>
      </c>
      <c r="G2522" s="37" t="n">
        <v>0.149973219068024</v>
      </c>
    </row>
    <row r="2523" customFormat="false" ht="15" hidden="false" customHeight="false" outlineLevel="0" collapsed="false">
      <c r="A2523" s="20" t="s">
        <v>2910</v>
      </c>
      <c r="B2523" s="20" t="s">
        <v>194</v>
      </c>
      <c r="C2523" s="9" t="s">
        <v>203</v>
      </c>
      <c r="D2523" s="9" t="n">
        <v>5</v>
      </c>
      <c r="E2523" s="30" t="n">
        <v>1850</v>
      </c>
      <c r="F2523" s="30" t="n">
        <v>276</v>
      </c>
      <c r="G2523" s="35" t="n">
        <v>0.149189189189189</v>
      </c>
    </row>
    <row r="2524" customFormat="false" ht="15" hidden="false" customHeight="false" outlineLevel="0" collapsed="false">
      <c r="A2524" s="25" t="s">
        <v>2911</v>
      </c>
      <c r="B2524" s="25" t="s">
        <v>194</v>
      </c>
      <c r="C2524" s="29" t="s">
        <v>203</v>
      </c>
      <c r="D2524" s="29" t="n">
        <v>3</v>
      </c>
      <c r="E2524" s="31" t="n">
        <v>1842</v>
      </c>
      <c r="F2524" s="31" t="n">
        <v>276</v>
      </c>
      <c r="G2524" s="37" t="n">
        <v>0.149837133550489</v>
      </c>
    </row>
    <row r="2525" customFormat="false" ht="15" hidden="false" customHeight="false" outlineLevel="0" collapsed="false">
      <c r="A2525" s="20" t="s">
        <v>2912</v>
      </c>
      <c r="B2525" s="20" t="s">
        <v>194</v>
      </c>
      <c r="C2525" s="9" t="s">
        <v>231</v>
      </c>
      <c r="D2525" s="9" t="n">
        <v>2</v>
      </c>
      <c r="E2525" s="30" t="n">
        <v>1840</v>
      </c>
      <c r="F2525" s="30" t="n">
        <v>1480</v>
      </c>
      <c r="G2525" s="35" t="n">
        <v>0.804347826086957</v>
      </c>
    </row>
    <row r="2526" customFormat="false" ht="15" hidden="false" customHeight="false" outlineLevel="0" collapsed="false">
      <c r="A2526" s="25" t="s">
        <v>2913</v>
      </c>
      <c r="B2526" s="29" t="s">
        <v>1734</v>
      </c>
      <c r="C2526" s="29" t="s">
        <v>229</v>
      </c>
      <c r="D2526" s="29" t="n">
        <v>7</v>
      </c>
      <c r="E2526" s="31" t="n">
        <v>1834</v>
      </c>
      <c r="F2526" s="31" t="n">
        <v>275</v>
      </c>
      <c r="G2526" s="37" t="n">
        <v>0.149945474372955</v>
      </c>
    </row>
    <row r="2527" customFormat="false" ht="15" hidden="false" customHeight="false" outlineLevel="0" collapsed="false">
      <c r="A2527" s="20" t="s">
        <v>2914</v>
      </c>
      <c r="B2527" s="9" t="s">
        <v>281</v>
      </c>
      <c r="C2527" s="9" t="s">
        <v>197</v>
      </c>
      <c r="D2527" s="9" t="n">
        <v>1</v>
      </c>
      <c r="E2527" s="30" t="n">
        <v>1823</v>
      </c>
      <c r="F2527" s="30" t="n">
        <v>725</v>
      </c>
      <c r="G2527" s="35" t="n">
        <v>0.3976961053209</v>
      </c>
    </row>
    <row r="2528" customFormat="false" ht="15" hidden="false" customHeight="false" outlineLevel="0" collapsed="false">
      <c r="A2528" s="25" t="s">
        <v>2915</v>
      </c>
      <c r="B2528" s="25" t="s">
        <v>200</v>
      </c>
      <c r="C2528" s="29" t="s">
        <v>223</v>
      </c>
      <c r="D2528" s="29" t="n">
        <v>2</v>
      </c>
      <c r="E2528" s="31" t="n">
        <v>1818</v>
      </c>
      <c r="F2528" s="31" t="n">
        <v>638</v>
      </c>
      <c r="G2528" s="37" t="n">
        <v>0.350935093509351</v>
      </c>
    </row>
    <row r="2529" customFormat="false" ht="15" hidden="false" customHeight="false" outlineLevel="0" collapsed="false">
      <c r="A2529" s="20" t="s">
        <v>2916</v>
      </c>
      <c r="B2529" s="9" t="s">
        <v>1649</v>
      </c>
      <c r="C2529" s="9" t="s">
        <v>229</v>
      </c>
      <c r="D2529" s="9" t="n">
        <v>3</v>
      </c>
      <c r="E2529" s="30" t="n">
        <v>1812</v>
      </c>
      <c r="F2529" s="30" t="n">
        <v>272</v>
      </c>
      <c r="G2529" s="35" t="n">
        <v>0.150110375275938</v>
      </c>
    </row>
    <row r="2530" customFormat="false" ht="15" hidden="false" customHeight="false" outlineLevel="0" collapsed="false">
      <c r="A2530" s="25" t="s">
        <v>2917</v>
      </c>
      <c r="B2530" s="25" t="s">
        <v>200</v>
      </c>
      <c r="C2530" s="29" t="s">
        <v>223</v>
      </c>
      <c r="D2530" s="29" t="n">
        <v>1</v>
      </c>
      <c r="E2530" s="31" t="n">
        <v>1806</v>
      </c>
      <c r="F2530" s="31" t="n">
        <v>271</v>
      </c>
      <c r="G2530" s="37" t="n">
        <v>0.150055370985604</v>
      </c>
    </row>
    <row r="2531" customFormat="false" ht="15" hidden="false" customHeight="false" outlineLevel="0" collapsed="false">
      <c r="A2531" s="20" t="s">
        <v>2918</v>
      </c>
      <c r="B2531" s="9" t="s">
        <v>253</v>
      </c>
      <c r="C2531" s="9" t="s">
        <v>223</v>
      </c>
      <c r="D2531" s="9" t="n">
        <v>1</v>
      </c>
      <c r="E2531" s="30" t="n">
        <v>1796</v>
      </c>
      <c r="F2531" s="30" t="n">
        <v>269</v>
      </c>
      <c r="G2531" s="35" t="n">
        <v>0.14977728285078</v>
      </c>
    </row>
    <row r="2532" customFormat="false" ht="15" hidden="false" customHeight="false" outlineLevel="0" collapsed="false">
      <c r="A2532" s="25" t="s">
        <v>2919</v>
      </c>
      <c r="B2532" s="25" t="s">
        <v>194</v>
      </c>
      <c r="C2532" s="29" t="s">
        <v>768</v>
      </c>
      <c r="D2532" s="29" t="n">
        <v>1</v>
      </c>
      <c r="E2532" s="31" t="n">
        <v>1790</v>
      </c>
      <c r="F2532" s="31" t="n">
        <v>268</v>
      </c>
      <c r="G2532" s="37" t="n">
        <v>0.149720670391061</v>
      </c>
    </row>
    <row r="2533" customFormat="false" ht="15" hidden="false" customHeight="false" outlineLevel="0" collapsed="false">
      <c r="A2533" s="20" t="s">
        <v>2920</v>
      </c>
      <c r="B2533" s="20" t="s">
        <v>2610</v>
      </c>
      <c r="C2533" s="9" t="s">
        <v>203</v>
      </c>
      <c r="D2533" s="9" t="n">
        <v>10</v>
      </c>
      <c r="E2533" s="30" t="n">
        <v>1780</v>
      </c>
      <c r="F2533" s="30" t="n">
        <v>270</v>
      </c>
      <c r="G2533" s="35" t="n">
        <v>0.151685393258427</v>
      </c>
    </row>
    <row r="2534" customFormat="false" ht="15" hidden="false" customHeight="false" outlineLevel="0" collapsed="false">
      <c r="A2534" s="25" t="s">
        <v>2921</v>
      </c>
      <c r="B2534" s="25" t="s">
        <v>194</v>
      </c>
      <c r="C2534" s="29" t="s">
        <v>485</v>
      </c>
      <c r="D2534" s="29" t="n">
        <v>1</v>
      </c>
      <c r="E2534" s="31" t="n">
        <v>1762</v>
      </c>
      <c r="F2534" s="31" t="n">
        <v>1339</v>
      </c>
      <c r="G2534" s="37" t="n">
        <v>0.759931895573212</v>
      </c>
    </row>
    <row r="2535" customFormat="false" ht="15" hidden="false" customHeight="false" outlineLevel="0" collapsed="false">
      <c r="A2535" s="20" t="s">
        <v>2922</v>
      </c>
      <c r="B2535" s="20" t="s">
        <v>194</v>
      </c>
      <c r="C2535" s="9" t="s">
        <v>203</v>
      </c>
      <c r="D2535" s="9" t="n">
        <v>1</v>
      </c>
      <c r="E2535" s="30" t="n">
        <v>1760</v>
      </c>
      <c r="F2535" s="30" t="n">
        <v>264</v>
      </c>
      <c r="G2535" s="35" t="n">
        <v>0.15</v>
      </c>
    </row>
    <row r="2536" customFormat="false" ht="15" hidden="false" customHeight="false" outlineLevel="0" collapsed="false">
      <c r="A2536" s="25" t="s">
        <v>2923</v>
      </c>
      <c r="B2536" s="25" t="s">
        <v>194</v>
      </c>
      <c r="C2536" s="29" t="s">
        <v>203</v>
      </c>
      <c r="D2536" s="29" t="n">
        <v>1</v>
      </c>
      <c r="E2536" s="31" t="n">
        <v>1756</v>
      </c>
      <c r="F2536" s="31" t="n">
        <v>425</v>
      </c>
      <c r="G2536" s="37" t="n">
        <v>0.242027334851936</v>
      </c>
    </row>
    <row r="2537" customFormat="false" ht="15" hidden="false" customHeight="false" outlineLevel="0" collapsed="false">
      <c r="A2537" s="20" t="s">
        <v>2924</v>
      </c>
      <c r="B2537" s="20" t="s">
        <v>194</v>
      </c>
      <c r="C2537" s="9" t="s">
        <v>203</v>
      </c>
      <c r="D2537" s="9" t="n">
        <v>1</v>
      </c>
      <c r="E2537" s="30" t="n">
        <v>1754</v>
      </c>
      <c r="F2537" s="30" t="n">
        <v>263</v>
      </c>
      <c r="G2537" s="35" t="n">
        <v>0.149942987457241</v>
      </c>
    </row>
    <row r="2538" customFormat="false" ht="15" hidden="false" customHeight="false" outlineLevel="0" collapsed="false">
      <c r="A2538" s="25" t="s">
        <v>2925</v>
      </c>
      <c r="B2538" s="29" t="s">
        <v>253</v>
      </c>
      <c r="C2538" s="29" t="s">
        <v>428</v>
      </c>
      <c r="D2538" s="29" t="n">
        <v>5</v>
      </c>
      <c r="E2538" s="31" t="n">
        <v>1750</v>
      </c>
      <c r="F2538" s="31" t="n">
        <v>810</v>
      </c>
      <c r="G2538" s="37" t="n">
        <v>0.462857142857143</v>
      </c>
    </row>
    <row r="2539" customFormat="false" ht="15" hidden="false" customHeight="false" outlineLevel="0" collapsed="false">
      <c r="A2539" s="20" t="s">
        <v>2926</v>
      </c>
      <c r="B2539" s="20" t="s">
        <v>194</v>
      </c>
      <c r="C2539" s="9" t="s">
        <v>223</v>
      </c>
      <c r="D2539" s="9" t="n">
        <v>1</v>
      </c>
      <c r="E2539" s="30" t="n">
        <v>1747</v>
      </c>
      <c r="F2539" s="30" t="n">
        <v>262</v>
      </c>
      <c r="G2539" s="35" t="n">
        <v>0.149971379507728</v>
      </c>
    </row>
    <row r="2540" customFormat="false" ht="15" hidden="false" customHeight="false" outlineLevel="0" collapsed="false">
      <c r="A2540" s="25" t="s">
        <v>2927</v>
      </c>
      <c r="B2540" s="25" t="s">
        <v>200</v>
      </c>
      <c r="C2540" s="29" t="s">
        <v>880</v>
      </c>
      <c r="D2540" s="29" t="n">
        <v>1</v>
      </c>
      <c r="E2540" s="31" t="n">
        <v>1738</v>
      </c>
      <c r="F2540" s="31" t="n">
        <v>261</v>
      </c>
      <c r="G2540" s="37" t="n">
        <v>0.150172612197929</v>
      </c>
    </row>
    <row r="2541" customFormat="false" ht="15" hidden="false" customHeight="false" outlineLevel="0" collapsed="false">
      <c r="A2541" s="20" t="s">
        <v>2928</v>
      </c>
      <c r="B2541" s="20" t="s">
        <v>194</v>
      </c>
      <c r="C2541" s="9" t="s">
        <v>223</v>
      </c>
      <c r="D2541" s="9" t="n">
        <v>1</v>
      </c>
      <c r="E2541" s="30" t="n">
        <v>1719</v>
      </c>
      <c r="F2541" s="30" t="n">
        <v>258</v>
      </c>
      <c r="G2541" s="35" t="n">
        <v>0.150087260034904</v>
      </c>
    </row>
    <row r="2542" customFormat="false" ht="15" hidden="false" customHeight="false" outlineLevel="0" collapsed="false">
      <c r="A2542" s="25" t="s">
        <v>2929</v>
      </c>
      <c r="B2542" s="25" t="s">
        <v>200</v>
      </c>
      <c r="C2542" s="29" t="s">
        <v>297</v>
      </c>
      <c r="D2542" s="29" t="n">
        <v>1</v>
      </c>
      <c r="E2542" s="31" t="n">
        <v>1697</v>
      </c>
      <c r="F2542" s="31" t="n">
        <v>255</v>
      </c>
      <c r="G2542" s="37" t="n">
        <v>0.150265173836182</v>
      </c>
    </row>
    <row r="2543" customFormat="false" ht="15" hidden="false" customHeight="false" outlineLevel="0" collapsed="false">
      <c r="A2543" s="20" t="s">
        <v>2930</v>
      </c>
      <c r="B2543" s="20" t="s">
        <v>194</v>
      </c>
      <c r="C2543" s="9" t="s">
        <v>231</v>
      </c>
      <c r="D2543" s="9" t="n">
        <v>3</v>
      </c>
      <c r="E2543" s="30" t="n">
        <v>1689</v>
      </c>
      <c r="F2543" s="30" t="n">
        <v>873</v>
      </c>
      <c r="G2543" s="35" t="n">
        <v>0.516873889875666</v>
      </c>
    </row>
    <row r="2544" customFormat="false" ht="15" hidden="false" customHeight="false" outlineLevel="0" collapsed="false">
      <c r="A2544" s="25" t="s">
        <v>2931</v>
      </c>
      <c r="B2544" s="29" t="s">
        <v>253</v>
      </c>
      <c r="C2544" s="29" t="s">
        <v>223</v>
      </c>
      <c r="D2544" s="29" t="n">
        <v>1</v>
      </c>
      <c r="E2544" s="31" t="n">
        <v>1686</v>
      </c>
      <c r="F2544" s="31" t="n">
        <v>253</v>
      </c>
      <c r="G2544" s="37" t="n">
        <v>0.15005931198102</v>
      </c>
    </row>
    <row r="2545" customFormat="false" ht="15" hidden="false" customHeight="false" outlineLevel="0" collapsed="false">
      <c r="A2545" s="20" t="s">
        <v>2932</v>
      </c>
      <c r="B2545" s="20" t="s">
        <v>194</v>
      </c>
      <c r="C2545" s="9" t="s">
        <v>380</v>
      </c>
      <c r="D2545" s="9" t="n">
        <v>5</v>
      </c>
      <c r="E2545" s="30" t="n">
        <v>1675</v>
      </c>
      <c r="F2545" s="30" t="n">
        <v>251</v>
      </c>
      <c r="G2545" s="35" t="n">
        <v>0.149850746268657</v>
      </c>
    </row>
    <row r="2546" customFormat="false" ht="15" hidden="false" customHeight="false" outlineLevel="0" collapsed="false">
      <c r="A2546" s="25" t="s">
        <v>2933</v>
      </c>
      <c r="B2546" s="25" t="s">
        <v>194</v>
      </c>
      <c r="C2546" s="29" t="s">
        <v>768</v>
      </c>
      <c r="D2546" s="29" t="n">
        <v>7</v>
      </c>
      <c r="E2546" s="31" t="n">
        <v>1673</v>
      </c>
      <c r="F2546" s="31" t="n">
        <v>252</v>
      </c>
      <c r="G2546" s="37" t="n">
        <v>0.150627615062762</v>
      </c>
    </row>
    <row r="2547" customFormat="false" ht="15" hidden="false" customHeight="false" outlineLevel="0" collapsed="false">
      <c r="A2547" s="20" t="s">
        <v>2934</v>
      </c>
      <c r="B2547" s="20" t="s">
        <v>194</v>
      </c>
      <c r="C2547" s="9" t="s">
        <v>229</v>
      </c>
      <c r="D2547" s="9" t="n">
        <v>2</v>
      </c>
      <c r="E2547" s="30" t="n">
        <v>1662</v>
      </c>
      <c r="F2547" s="30" t="n">
        <v>250</v>
      </c>
      <c r="G2547" s="35" t="n">
        <v>0.150421179302046</v>
      </c>
    </row>
    <row r="2548" customFormat="false" ht="15" hidden="false" customHeight="false" outlineLevel="0" collapsed="false">
      <c r="A2548" s="25" t="s">
        <v>2935</v>
      </c>
      <c r="B2548" s="25" t="s">
        <v>194</v>
      </c>
      <c r="C2548" s="29" t="s">
        <v>203</v>
      </c>
      <c r="D2548" s="29" t="n">
        <v>1</v>
      </c>
      <c r="E2548" s="31" t="n">
        <v>1659</v>
      </c>
      <c r="F2548" s="31" t="n">
        <v>249</v>
      </c>
      <c r="G2548" s="37" t="n">
        <v>0.150090415913201</v>
      </c>
    </row>
    <row r="2549" customFormat="false" ht="15" hidden="false" customHeight="false" outlineLevel="0" collapsed="false">
      <c r="A2549" s="20" t="s">
        <v>2936</v>
      </c>
      <c r="B2549" s="20" t="s">
        <v>194</v>
      </c>
      <c r="C2549" s="9" t="s">
        <v>203</v>
      </c>
      <c r="D2549" s="9" t="n">
        <v>3</v>
      </c>
      <c r="E2549" s="30" t="n">
        <v>1650</v>
      </c>
      <c r="F2549" s="30" t="n">
        <v>1275</v>
      </c>
      <c r="G2549" s="35" t="n">
        <v>0.772727272727273</v>
      </c>
    </row>
    <row r="2550" customFormat="false" ht="15" hidden="false" customHeight="false" outlineLevel="0" collapsed="false">
      <c r="A2550" s="25" t="s">
        <v>2937</v>
      </c>
      <c r="B2550" s="29" t="s">
        <v>253</v>
      </c>
      <c r="C2550" s="29" t="s">
        <v>428</v>
      </c>
      <c r="D2550" s="29" t="n">
        <v>3</v>
      </c>
      <c r="E2550" s="31" t="n">
        <v>1647</v>
      </c>
      <c r="F2550" s="31" t="n">
        <v>576</v>
      </c>
      <c r="G2550" s="37" t="n">
        <v>0.349726775956284</v>
      </c>
    </row>
    <row r="2551" customFormat="false" ht="15" hidden="false" customHeight="false" outlineLevel="0" collapsed="false">
      <c r="A2551" s="20" t="s">
        <v>2938</v>
      </c>
      <c r="B2551" s="9" t="s">
        <v>253</v>
      </c>
      <c r="C2551" s="9" t="s">
        <v>428</v>
      </c>
      <c r="D2551" s="9" t="n">
        <v>2</v>
      </c>
      <c r="E2551" s="30" t="n">
        <v>1646</v>
      </c>
      <c r="F2551" s="30" t="n">
        <v>678</v>
      </c>
      <c r="G2551" s="35" t="n">
        <v>0.411907654921021</v>
      </c>
    </row>
    <row r="2552" customFormat="false" ht="15" hidden="false" customHeight="false" outlineLevel="0" collapsed="false">
      <c r="A2552" s="25" t="s">
        <v>2939</v>
      </c>
      <c r="B2552" s="25" t="s">
        <v>194</v>
      </c>
      <c r="C2552" s="29" t="s">
        <v>368</v>
      </c>
      <c r="D2552" s="29" t="n">
        <v>11</v>
      </c>
      <c r="E2552" s="31" t="n">
        <v>1639</v>
      </c>
      <c r="F2552" s="31" t="n">
        <v>244</v>
      </c>
      <c r="G2552" s="37" t="n">
        <v>0.148871262965223</v>
      </c>
    </row>
    <row r="2553" customFormat="false" ht="15" hidden="false" customHeight="false" outlineLevel="0" collapsed="false">
      <c r="A2553" s="20" t="s">
        <v>2940</v>
      </c>
      <c r="B2553" s="9" t="s">
        <v>2150</v>
      </c>
      <c r="C2553" s="9" t="s">
        <v>768</v>
      </c>
      <c r="D2553" s="9" t="n">
        <v>3</v>
      </c>
      <c r="E2553" s="30" t="n">
        <v>1620</v>
      </c>
      <c r="F2553" s="30" t="n">
        <v>243</v>
      </c>
      <c r="G2553" s="35" t="n">
        <v>0.15</v>
      </c>
    </row>
    <row r="2554" customFormat="false" ht="15" hidden="false" customHeight="false" outlineLevel="0" collapsed="false">
      <c r="A2554" s="25" t="s">
        <v>2941</v>
      </c>
      <c r="B2554" s="25" t="s">
        <v>194</v>
      </c>
      <c r="C2554" s="29" t="s">
        <v>485</v>
      </c>
      <c r="D2554" s="29" t="n">
        <v>1</v>
      </c>
      <c r="E2554" s="31" t="n">
        <v>1618</v>
      </c>
      <c r="F2554" s="31" t="n">
        <v>1372</v>
      </c>
      <c r="G2554" s="37" t="n">
        <v>0.84796044499382</v>
      </c>
    </row>
    <row r="2555" customFormat="false" ht="15" hidden="false" customHeight="false" outlineLevel="0" collapsed="false">
      <c r="A2555" s="20" t="s">
        <v>2942</v>
      </c>
      <c r="B2555" s="9" t="s">
        <v>253</v>
      </c>
      <c r="C2555" s="9" t="s">
        <v>428</v>
      </c>
      <c r="D2555" s="9" t="n">
        <v>3</v>
      </c>
      <c r="E2555" s="30" t="n">
        <v>1611</v>
      </c>
      <c r="F2555" s="30" t="n">
        <v>1266</v>
      </c>
      <c r="G2555" s="35" t="n">
        <v>0.78584729981378</v>
      </c>
    </row>
    <row r="2556" customFormat="false" ht="15" hidden="false" customHeight="false" outlineLevel="0" collapsed="false">
      <c r="A2556" s="25" t="s">
        <v>2943</v>
      </c>
      <c r="B2556" s="25" t="s">
        <v>200</v>
      </c>
      <c r="C2556" s="29" t="s">
        <v>439</v>
      </c>
      <c r="D2556" s="29" t="n">
        <v>1</v>
      </c>
      <c r="E2556" s="31" t="n">
        <v>1605</v>
      </c>
      <c r="F2556" s="31" t="n">
        <v>241</v>
      </c>
      <c r="G2556" s="37" t="n">
        <v>0.150155763239875</v>
      </c>
    </row>
    <row r="2557" customFormat="false" ht="15" hidden="false" customHeight="false" outlineLevel="0" collapsed="false">
      <c r="A2557" s="20" t="s">
        <v>2944</v>
      </c>
      <c r="B2557" s="9" t="s">
        <v>253</v>
      </c>
      <c r="C2557" s="9" t="s">
        <v>428</v>
      </c>
      <c r="D2557" s="9" t="n">
        <v>2</v>
      </c>
      <c r="E2557" s="30" t="n">
        <v>1604</v>
      </c>
      <c r="F2557" s="30" t="n">
        <v>1060</v>
      </c>
      <c r="G2557" s="35" t="n">
        <v>0.660847880299252</v>
      </c>
    </row>
    <row r="2558" customFormat="false" ht="15" hidden="false" customHeight="false" outlineLevel="0" collapsed="false">
      <c r="A2558" s="25" t="s">
        <v>2945</v>
      </c>
      <c r="B2558" s="25" t="s">
        <v>194</v>
      </c>
      <c r="C2558" s="29" t="s">
        <v>203</v>
      </c>
      <c r="D2558" s="29" t="n">
        <v>1</v>
      </c>
      <c r="E2558" s="31" t="n">
        <v>1600</v>
      </c>
      <c r="F2558" s="31" t="n">
        <v>1320</v>
      </c>
      <c r="G2558" s="37" t="n">
        <v>0.825</v>
      </c>
    </row>
    <row r="2559" customFormat="false" ht="15" hidden="false" customHeight="false" outlineLevel="0" collapsed="false">
      <c r="A2559" s="20" t="s">
        <v>2946</v>
      </c>
      <c r="B2559" s="20" t="s">
        <v>200</v>
      </c>
      <c r="C2559" s="9" t="s">
        <v>223</v>
      </c>
      <c r="D2559" s="9" t="n">
        <v>1</v>
      </c>
      <c r="E2559" s="30" t="n">
        <v>1586</v>
      </c>
      <c r="F2559" s="30" t="n">
        <v>238</v>
      </c>
      <c r="G2559" s="35" t="n">
        <v>0.150063051702396</v>
      </c>
    </row>
    <row r="2560" customFormat="false" ht="15" hidden="false" customHeight="false" outlineLevel="0" collapsed="false">
      <c r="A2560" s="25" t="s">
        <v>2947</v>
      </c>
      <c r="B2560" s="29" t="s">
        <v>253</v>
      </c>
      <c r="C2560" s="29" t="s">
        <v>428</v>
      </c>
      <c r="D2560" s="29" t="n">
        <v>4</v>
      </c>
      <c r="E2560" s="31" t="n">
        <v>1572</v>
      </c>
      <c r="F2560" s="31" t="n">
        <v>720</v>
      </c>
      <c r="G2560" s="37" t="n">
        <v>0.458015267175573</v>
      </c>
    </row>
    <row r="2561" customFormat="false" ht="15" hidden="false" customHeight="false" outlineLevel="0" collapsed="false">
      <c r="A2561" s="20" t="s">
        <v>2948</v>
      </c>
      <c r="B2561" s="9" t="s">
        <v>216</v>
      </c>
      <c r="C2561" s="9" t="s">
        <v>428</v>
      </c>
      <c r="D2561" s="9" t="n">
        <v>1</v>
      </c>
      <c r="E2561" s="30" t="n">
        <v>1558</v>
      </c>
      <c r="F2561" s="30" t="n">
        <v>573</v>
      </c>
      <c r="G2561" s="35" t="n">
        <v>0.367779204107831</v>
      </c>
    </row>
    <row r="2562" customFormat="false" ht="15" hidden="false" customHeight="false" outlineLevel="0" collapsed="false">
      <c r="A2562" s="25" t="s">
        <v>2949</v>
      </c>
      <c r="B2562" s="29" t="s">
        <v>253</v>
      </c>
      <c r="C2562" s="29" t="s">
        <v>428</v>
      </c>
      <c r="D2562" s="29" t="n">
        <v>1</v>
      </c>
      <c r="E2562" s="31" t="n">
        <v>1558</v>
      </c>
      <c r="F2562" s="31" t="n">
        <v>849</v>
      </c>
      <c r="G2562" s="37" t="n">
        <v>0.544929396662388</v>
      </c>
    </row>
    <row r="2563" customFormat="false" ht="15" hidden="false" customHeight="false" outlineLevel="0" collapsed="false">
      <c r="A2563" s="20" t="s">
        <v>2950</v>
      </c>
      <c r="B2563" s="9" t="s">
        <v>253</v>
      </c>
      <c r="C2563" s="9" t="s">
        <v>428</v>
      </c>
      <c r="D2563" s="9" t="n">
        <v>1</v>
      </c>
      <c r="E2563" s="30" t="n">
        <v>1554</v>
      </c>
      <c r="F2563" s="30" t="n">
        <v>922</v>
      </c>
      <c r="G2563" s="35" t="n">
        <v>0.593307593307593</v>
      </c>
    </row>
    <row r="2564" customFormat="false" ht="15" hidden="false" customHeight="false" outlineLevel="0" collapsed="false">
      <c r="A2564" s="25" t="s">
        <v>2951</v>
      </c>
      <c r="B2564" s="29" t="s">
        <v>216</v>
      </c>
      <c r="C2564" s="29" t="s">
        <v>428</v>
      </c>
      <c r="D2564" s="29" t="n">
        <v>1</v>
      </c>
      <c r="E2564" s="31" t="n">
        <v>1553</v>
      </c>
      <c r="F2564" s="31" t="n">
        <v>569</v>
      </c>
      <c r="G2564" s="37" t="n">
        <v>0.366387636831938</v>
      </c>
    </row>
    <row r="2565" customFormat="false" ht="15" hidden="false" customHeight="false" outlineLevel="0" collapsed="false">
      <c r="A2565" s="20" t="s">
        <v>2952</v>
      </c>
      <c r="B2565" s="20" t="s">
        <v>194</v>
      </c>
      <c r="C2565" s="9" t="s">
        <v>203</v>
      </c>
      <c r="D2565" s="9" t="n">
        <v>1</v>
      </c>
      <c r="E2565" s="30" t="n">
        <v>1550</v>
      </c>
      <c r="F2565" s="30" t="n">
        <v>232</v>
      </c>
      <c r="G2565" s="35" t="n">
        <v>0.149677419354839</v>
      </c>
    </row>
    <row r="2566" customFormat="false" ht="15" hidden="false" customHeight="false" outlineLevel="0" collapsed="false">
      <c r="A2566" s="25" t="s">
        <v>2953</v>
      </c>
      <c r="B2566" s="25" t="s">
        <v>332</v>
      </c>
      <c r="C2566" s="29" t="s">
        <v>439</v>
      </c>
      <c r="D2566" s="29" t="n">
        <v>2</v>
      </c>
      <c r="E2566" s="31" t="n">
        <v>1548</v>
      </c>
      <c r="F2566" s="31" t="n">
        <v>232</v>
      </c>
      <c r="G2566" s="37" t="n">
        <v>0.149870801033592</v>
      </c>
    </row>
    <row r="2567" customFormat="false" ht="15" hidden="false" customHeight="false" outlineLevel="0" collapsed="false">
      <c r="A2567" s="20" t="s">
        <v>2954</v>
      </c>
      <c r="B2567" s="20" t="s">
        <v>194</v>
      </c>
      <c r="C2567" s="9" t="s">
        <v>229</v>
      </c>
      <c r="D2567" s="9" t="n">
        <v>1</v>
      </c>
      <c r="E2567" s="30" t="n">
        <v>1545</v>
      </c>
      <c r="F2567" s="30" t="n">
        <v>533</v>
      </c>
      <c r="G2567" s="35" t="n">
        <v>0.344983818770227</v>
      </c>
    </row>
    <row r="2568" customFormat="false" ht="15" hidden="false" customHeight="false" outlineLevel="0" collapsed="false">
      <c r="A2568" s="25" t="s">
        <v>2955</v>
      </c>
      <c r="B2568" s="25" t="s">
        <v>194</v>
      </c>
      <c r="C2568" s="29" t="s">
        <v>195</v>
      </c>
      <c r="D2568" s="29" t="n">
        <v>2</v>
      </c>
      <c r="E2568" s="31" t="n">
        <v>1544</v>
      </c>
      <c r="F2568" s="31" t="n">
        <v>232</v>
      </c>
      <c r="G2568" s="37" t="n">
        <v>0.150259067357513</v>
      </c>
    </row>
    <row r="2569" customFormat="false" ht="15" hidden="false" customHeight="false" outlineLevel="0" collapsed="false">
      <c r="A2569" s="20" t="s">
        <v>2956</v>
      </c>
      <c r="B2569" s="20" t="s">
        <v>194</v>
      </c>
      <c r="C2569" s="9" t="s">
        <v>203</v>
      </c>
      <c r="D2569" s="9" t="n">
        <v>4</v>
      </c>
      <c r="E2569" s="30" t="n">
        <v>1532</v>
      </c>
      <c r="F2569" s="30" t="n">
        <v>1052</v>
      </c>
      <c r="G2569" s="35" t="n">
        <v>0.68668407310705</v>
      </c>
    </row>
    <row r="2570" customFormat="false" ht="15" hidden="false" customHeight="false" outlineLevel="0" collapsed="false">
      <c r="A2570" s="25" t="s">
        <v>2957</v>
      </c>
      <c r="B2570" s="25" t="s">
        <v>194</v>
      </c>
      <c r="C2570" s="29" t="s">
        <v>223</v>
      </c>
      <c r="D2570" s="29" t="n">
        <v>1</v>
      </c>
      <c r="E2570" s="31" t="n">
        <v>1525</v>
      </c>
      <c r="F2570" s="31" t="n">
        <v>229</v>
      </c>
      <c r="G2570" s="37" t="n">
        <v>0.15016393442623</v>
      </c>
    </row>
    <row r="2571" customFormat="false" ht="15" hidden="false" customHeight="false" outlineLevel="0" collapsed="false">
      <c r="A2571" s="20" t="s">
        <v>2958</v>
      </c>
      <c r="B2571" s="20" t="s">
        <v>194</v>
      </c>
      <c r="C2571" s="9" t="s">
        <v>391</v>
      </c>
      <c r="D2571" s="9" t="n">
        <v>2</v>
      </c>
      <c r="E2571" s="30" t="n">
        <v>1524</v>
      </c>
      <c r="F2571" s="30" t="n">
        <v>114</v>
      </c>
      <c r="G2571" s="35" t="n">
        <v>0.0748031496062992</v>
      </c>
    </row>
    <row r="2572" customFormat="false" ht="15" hidden="false" customHeight="false" outlineLevel="0" collapsed="false">
      <c r="A2572" s="25" t="s">
        <v>2959</v>
      </c>
      <c r="B2572" s="29" t="s">
        <v>253</v>
      </c>
      <c r="C2572" s="29" t="s">
        <v>428</v>
      </c>
      <c r="D2572" s="29" t="n">
        <v>1</v>
      </c>
      <c r="E2572" s="31" t="n">
        <v>1522</v>
      </c>
      <c r="F2572" s="31" t="n">
        <v>846</v>
      </c>
      <c r="G2572" s="37" t="n">
        <v>0.555847568988173</v>
      </c>
    </row>
    <row r="2573" customFormat="false" ht="15" hidden="false" customHeight="false" outlineLevel="0" collapsed="false">
      <c r="A2573" s="20" t="s">
        <v>2960</v>
      </c>
      <c r="B2573" s="9" t="s">
        <v>216</v>
      </c>
      <c r="C2573" s="9" t="s">
        <v>428</v>
      </c>
      <c r="D2573" s="9" t="n">
        <v>1</v>
      </c>
      <c r="E2573" s="30" t="n">
        <v>1522</v>
      </c>
      <c r="F2573" s="30" t="n">
        <v>835</v>
      </c>
      <c r="G2573" s="35" t="n">
        <v>0.54862023653088</v>
      </c>
    </row>
    <row r="2574" customFormat="false" ht="15" hidden="false" customHeight="false" outlineLevel="0" collapsed="false">
      <c r="A2574" s="25" t="s">
        <v>2961</v>
      </c>
      <c r="B2574" s="25" t="s">
        <v>194</v>
      </c>
      <c r="C2574" s="29" t="s">
        <v>223</v>
      </c>
      <c r="D2574" s="29" t="n">
        <v>2</v>
      </c>
      <c r="E2574" s="31" t="n">
        <v>1518</v>
      </c>
      <c r="F2574" s="31" t="n">
        <v>328</v>
      </c>
      <c r="G2574" s="37" t="n">
        <v>0.216073781291173</v>
      </c>
    </row>
    <row r="2575" customFormat="false" ht="15" hidden="false" customHeight="false" outlineLevel="0" collapsed="false">
      <c r="A2575" s="20" t="s">
        <v>2962</v>
      </c>
      <c r="B2575" s="9" t="s">
        <v>2963</v>
      </c>
      <c r="C2575" s="9" t="s">
        <v>223</v>
      </c>
      <c r="D2575" s="9" t="n">
        <v>2</v>
      </c>
      <c r="E2575" s="30" t="n">
        <v>1514</v>
      </c>
      <c r="F2575" s="30" t="n">
        <v>358</v>
      </c>
      <c r="G2575" s="35" t="n">
        <v>0.236459709379128</v>
      </c>
    </row>
    <row r="2576" customFormat="false" ht="15" hidden="false" customHeight="false" outlineLevel="0" collapsed="false">
      <c r="A2576" s="25" t="s">
        <v>2964</v>
      </c>
      <c r="B2576" s="25" t="s">
        <v>2965</v>
      </c>
      <c r="C2576" s="29" t="s">
        <v>1950</v>
      </c>
      <c r="D2576" s="29" t="n">
        <v>1</v>
      </c>
      <c r="E2576" s="31" t="n">
        <v>1500</v>
      </c>
      <c r="F2576" s="31" t="n">
        <v>225</v>
      </c>
      <c r="G2576" s="37" t="n">
        <v>0.15</v>
      </c>
    </row>
    <row r="2577" customFormat="false" ht="15" hidden="false" customHeight="false" outlineLevel="0" collapsed="false">
      <c r="A2577" s="20" t="s">
        <v>2966</v>
      </c>
      <c r="B2577" s="20" t="s">
        <v>194</v>
      </c>
      <c r="C2577" s="9" t="s">
        <v>223</v>
      </c>
      <c r="D2577" s="9" t="n">
        <v>1</v>
      </c>
      <c r="E2577" s="30" t="n">
        <v>1488</v>
      </c>
      <c r="F2577" s="30" t="n">
        <v>223</v>
      </c>
      <c r="G2577" s="35" t="n">
        <v>0.149865591397849</v>
      </c>
    </row>
    <row r="2578" customFormat="false" ht="15" hidden="false" customHeight="false" outlineLevel="0" collapsed="false">
      <c r="A2578" s="25" t="s">
        <v>2967</v>
      </c>
      <c r="B2578" s="25" t="s">
        <v>220</v>
      </c>
      <c r="C2578" s="29" t="s">
        <v>622</v>
      </c>
      <c r="D2578" s="29" t="n">
        <v>1</v>
      </c>
      <c r="E2578" s="31" t="n">
        <v>1476</v>
      </c>
      <c r="F2578" s="31" t="n">
        <v>1076</v>
      </c>
      <c r="G2578" s="37" t="n">
        <v>0.7289972899729</v>
      </c>
    </row>
    <row r="2579" customFormat="false" ht="15" hidden="false" customHeight="false" outlineLevel="0" collapsed="false">
      <c r="A2579" s="20" t="s">
        <v>2968</v>
      </c>
      <c r="B2579" s="9" t="s">
        <v>253</v>
      </c>
      <c r="C2579" s="9" t="s">
        <v>428</v>
      </c>
      <c r="D2579" s="9" t="n">
        <v>2</v>
      </c>
      <c r="E2579" s="30" t="n">
        <v>1468</v>
      </c>
      <c r="F2579" s="30" t="n">
        <v>634</v>
      </c>
      <c r="G2579" s="35" t="n">
        <v>0.431880108991826</v>
      </c>
    </row>
    <row r="2580" customFormat="false" ht="15" hidden="false" customHeight="false" outlineLevel="0" collapsed="false">
      <c r="A2580" s="25" t="s">
        <v>2969</v>
      </c>
      <c r="B2580" s="25" t="s">
        <v>194</v>
      </c>
      <c r="C2580" s="29" t="s">
        <v>203</v>
      </c>
      <c r="D2580" s="29" t="n">
        <v>1</v>
      </c>
      <c r="E2580" s="31" t="n">
        <v>1465</v>
      </c>
      <c r="F2580" s="31" t="n">
        <v>220</v>
      </c>
      <c r="G2580" s="37" t="n">
        <v>0.150170648464164</v>
      </c>
    </row>
    <row r="2581" customFormat="false" ht="15" hidden="false" customHeight="false" outlineLevel="0" collapsed="false">
      <c r="A2581" s="20" t="s">
        <v>2970</v>
      </c>
      <c r="B2581" s="20" t="s">
        <v>200</v>
      </c>
      <c r="C2581" s="9" t="s">
        <v>223</v>
      </c>
      <c r="D2581" s="9" t="n">
        <v>1</v>
      </c>
      <c r="E2581" s="30" t="n">
        <v>1463</v>
      </c>
      <c r="F2581" s="30" t="n">
        <v>219</v>
      </c>
      <c r="G2581" s="35" t="n">
        <v>0.149692412850308</v>
      </c>
    </row>
    <row r="2582" customFormat="false" ht="15" hidden="false" customHeight="false" outlineLevel="0" collapsed="false">
      <c r="A2582" s="25" t="s">
        <v>2971</v>
      </c>
      <c r="B2582" s="29" t="s">
        <v>253</v>
      </c>
      <c r="C2582" s="29" t="s">
        <v>428</v>
      </c>
      <c r="D2582" s="29" t="n">
        <v>1</v>
      </c>
      <c r="E2582" s="31" t="n">
        <v>1462</v>
      </c>
      <c r="F2582" s="31" t="n">
        <v>1065</v>
      </c>
      <c r="G2582" s="37" t="n">
        <v>0.728454172366621</v>
      </c>
    </row>
    <row r="2583" customFormat="false" ht="15" hidden="false" customHeight="false" outlineLevel="0" collapsed="false">
      <c r="A2583" s="20" t="s">
        <v>2972</v>
      </c>
      <c r="B2583" s="9" t="s">
        <v>253</v>
      </c>
      <c r="C2583" s="9" t="s">
        <v>229</v>
      </c>
      <c r="D2583" s="9" t="n">
        <v>1</v>
      </c>
      <c r="E2583" s="30" t="n">
        <v>1459</v>
      </c>
      <c r="F2583" s="30" t="n">
        <v>219</v>
      </c>
      <c r="G2583" s="35" t="n">
        <v>0.150102810143934</v>
      </c>
    </row>
    <row r="2584" customFormat="false" ht="15" hidden="false" customHeight="false" outlineLevel="0" collapsed="false">
      <c r="A2584" s="25" t="s">
        <v>2973</v>
      </c>
      <c r="B2584" s="25" t="s">
        <v>194</v>
      </c>
      <c r="C2584" s="29" t="s">
        <v>231</v>
      </c>
      <c r="D2584" s="29" t="n">
        <v>3</v>
      </c>
      <c r="E2584" s="31" t="n">
        <v>1452</v>
      </c>
      <c r="F2584" s="31" t="n">
        <v>294</v>
      </c>
      <c r="G2584" s="37" t="n">
        <v>0.202479338842975</v>
      </c>
    </row>
    <row r="2585" customFormat="false" ht="15" hidden="false" customHeight="false" outlineLevel="0" collapsed="false">
      <c r="A2585" s="20" t="s">
        <v>2974</v>
      </c>
      <c r="B2585" s="9" t="s">
        <v>253</v>
      </c>
      <c r="C2585" s="9" t="s">
        <v>229</v>
      </c>
      <c r="D2585" s="9" t="n">
        <v>6</v>
      </c>
      <c r="E2585" s="30" t="n">
        <v>1452</v>
      </c>
      <c r="F2585" s="30" t="n">
        <v>1152</v>
      </c>
      <c r="G2585" s="35" t="n">
        <v>0.793388429752066</v>
      </c>
    </row>
    <row r="2586" customFormat="false" ht="15" hidden="false" customHeight="false" outlineLevel="0" collapsed="false">
      <c r="A2586" s="25" t="s">
        <v>2975</v>
      </c>
      <c r="B2586" s="25" t="s">
        <v>194</v>
      </c>
      <c r="C2586" s="29" t="s">
        <v>223</v>
      </c>
      <c r="D2586" s="29" t="n">
        <v>4</v>
      </c>
      <c r="E2586" s="31" t="n">
        <v>1444</v>
      </c>
      <c r="F2586" s="31" t="n">
        <v>216</v>
      </c>
      <c r="G2586" s="37" t="n">
        <v>0.149584487534626</v>
      </c>
    </row>
    <row r="2587" customFormat="false" ht="15" hidden="false" customHeight="false" outlineLevel="0" collapsed="false">
      <c r="A2587" s="20" t="s">
        <v>2976</v>
      </c>
      <c r="B2587" s="20" t="s">
        <v>194</v>
      </c>
      <c r="C2587" s="9" t="s">
        <v>195</v>
      </c>
      <c r="D2587" s="9" t="n">
        <v>2</v>
      </c>
      <c r="E2587" s="30" t="n">
        <v>1442</v>
      </c>
      <c r="F2587" s="30" t="n">
        <v>234</v>
      </c>
      <c r="G2587" s="35" t="n">
        <v>0.162274618585298</v>
      </c>
    </row>
    <row r="2588" customFormat="false" ht="15" hidden="false" customHeight="false" outlineLevel="0" collapsed="false">
      <c r="A2588" s="25" t="s">
        <v>2977</v>
      </c>
      <c r="B2588" s="25" t="s">
        <v>891</v>
      </c>
      <c r="C2588" s="29" t="s">
        <v>229</v>
      </c>
      <c r="D2588" s="29" t="n">
        <v>1</v>
      </c>
      <c r="E2588" s="31" t="n">
        <v>1436</v>
      </c>
      <c r="F2588" s="31" t="n">
        <v>215</v>
      </c>
      <c r="G2588" s="37" t="n">
        <v>0.149721448467967</v>
      </c>
    </row>
    <row r="2589" customFormat="false" ht="15" hidden="false" customHeight="false" outlineLevel="0" collapsed="false">
      <c r="A2589" s="20" t="s">
        <v>2978</v>
      </c>
      <c r="B2589" s="20" t="s">
        <v>194</v>
      </c>
      <c r="C2589" s="9" t="s">
        <v>231</v>
      </c>
      <c r="D2589" s="9" t="n">
        <v>3</v>
      </c>
      <c r="E2589" s="30" t="n">
        <v>1434</v>
      </c>
      <c r="F2589" s="30" t="n">
        <v>1122</v>
      </c>
      <c r="G2589" s="35" t="n">
        <v>0.782426778242678</v>
      </c>
    </row>
    <row r="2590" customFormat="false" ht="15" hidden="false" customHeight="false" outlineLevel="0" collapsed="false">
      <c r="A2590" s="25" t="s">
        <v>2979</v>
      </c>
      <c r="B2590" s="25" t="s">
        <v>194</v>
      </c>
      <c r="C2590" s="29" t="s">
        <v>203</v>
      </c>
      <c r="D2590" s="29" t="n">
        <v>1</v>
      </c>
      <c r="E2590" s="31" t="n">
        <v>1434</v>
      </c>
      <c r="F2590" s="31" t="n">
        <v>916</v>
      </c>
      <c r="G2590" s="37" t="n">
        <v>0.638772663877266</v>
      </c>
    </row>
    <row r="2591" customFormat="false" ht="15" hidden="false" customHeight="false" outlineLevel="0" collapsed="false">
      <c r="A2591" s="20" t="s">
        <v>2980</v>
      </c>
      <c r="B2591" s="20" t="s">
        <v>194</v>
      </c>
      <c r="C2591" s="9" t="s">
        <v>217</v>
      </c>
      <c r="D2591" s="9" t="n">
        <v>1</v>
      </c>
      <c r="E2591" s="30" t="n">
        <v>1425</v>
      </c>
      <c r="F2591" s="30" t="n">
        <v>581</v>
      </c>
      <c r="G2591" s="35" t="n">
        <v>0.407719298245614</v>
      </c>
    </row>
    <row r="2592" customFormat="false" ht="15" hidden="false" customHeight="false" outlineLevel="0" collapsed="false">
      <c r="A2592" s="25" t="s">
        <v>2981</v>
      </c>
      <c r="B2592" s="29" t="s">
        <v>253</v>
      </c>
      <c r="C2592" s="29" t="s">
        <v>428</v>
      </c>
      <c r="D2592" s="29" t="n">
        <v>1</v>
      </c>
      <c r="E2592" s="31" t="n">
        <v>1420</v>
      </c>
      <c r="F2592" s="31" t="n">
        <v>73</v>
      </c>
      <c r="G2592" s="37" t="n">
        <v>0.0514084507042253</v>
      </c>
    </row>
    <row r="2593" customFormat="false" ht="15" hidden="false" customHeight="false" outlineLevel="0" collapsed="false">
      <c r="A2593" s="20" t="s">
        <v>2982</v>
      </c>
      <c r="B2593" s="20" t="s">
        <v>2797</v>
      </c>
      <c r="C2593" s="9" t="s">
        <v>203</v>
      </c>
      <c r="D2593" s="9" t="n">
        <v>10</v>
      </c>
      <c r="E2593" s="30" t="n">
        <v>1400</v>
      </c>
      <c r="F2593" s="30" t="n">
        <v>210</v>
      </c>
      <c r="G2593" s="35" t="n">
        <v>0.15</v>
      </c>
    </row>
    <row r="2594" customFormat="false" ht="15" hidden="false" customHeight="false" outlineLevel="0" collapsed="false">
      <c r="A2594" s="25" t="s">
        <v>2983</v>
      </c>
      <c r="B2594" s="25" t="s">
        <v>194</v>
      </c>
      <c r="C2594" s="29" t="s">
        <v>297</v>
      </c>
      <c r="D2594" s="29" t="n">
        <v>1</v>
      </c>
      <c r="E2594" s="31" t="n">
        <v>1377</v>
      </c>
      <c r="F2594" s="31" t="n">
        <v>207</v>
      </c>
      <c r="G2594" s="37" t="n">
        <v>0.150326797385621</v>
      </c>
    </row>
    <row r="2595" customFormat="false" ht="15" hidden="false" customHeight="false" outlineLevel="0" collapsed="false">
      <c r="A2595" s="20" t="s">
        <v>2984</v>
      </c>
      <c r="B2595" s="9" t="s">
        <v>253</v>
      </c>
      <c r="C2595" s="9" t="s">
        <v>428</v>
      </c>
      <c r="D2595" s="9" t="n">
        <v>1</v>
      </c>
      <c r="E2595" s="30" t="n">
        <v>1372</v>
      </c>
      <c r="F2595" s="30" t="n">
        <v>790</v>
      </c>
      <c r="G2595" s="35" t="n">
        <v>0.575801749271137</v>
      </c>
    </row>
    <row r="2596" customFormat="false" ht="15" hidden="false" customHeight="false" outlineLevel="0" collapsed="false">
      <c r="A2596" s="25" t="s">
        <v>2985</v>
      </c>
      <c r="B2596" s="25" t="s">
        <v>1027</v>
      </c>
      <c r="C2596" s="29" t="s">
        <v>297</v>
      </c>
      <c r="D2596" s="29" t="n">
        <v>1</v>
      </c>
      <c r="E2596" s="31" t="n">
        <v>1366</v>
      </c>
      <c r="F2596" s="31" t="n">
        <v>205</v>
      </c>
      <c r="G2596" s="37" t="n">
        <v>0.150073206442167</v>
      </c>
    </row>
    <row r="2597" customFormat="false" ht="15" hidden="false" customHeight="false" outlineLevel="0" collapsed="false">
      <c r="A2597" s="20" t="s">
        <v>2986</v>
      </c>
      <c r="B2597" s="9" t="s">
        <v>216</v>
      </c>
      <c r="C2597" s="9" t="s">
        <v>428</v>
      </c>
      <c r="D2597" s="9" t="n">
        <v>1</v>
      </c>
      <c r="E2597" s="30" t="n">
        <v>1363</v>
      </c>
      <c r="F2597" s="30" t="n">
        <v>931</v>
      </c>
      <c r="G2597" s="35" t="n">
        <v>0.683052090975789</v>
      </c>
    </row>
    <row r="2598" customFormat="false" ht="15" hidden="false" customHeight="false" outlineLevel="0" collapsed="false">
      <c r="A2598" s="25" t="s">
        <v>2987</v>
      </c>
      <c r="B2598" s="29" t="s">
        <v>2988</v>
      </c>
      <c r="C2598" s="29" t="s">
        <v>439</v>
      </c>
      <c r="D2598" s="29" t="n">
        <v>1</v>
      </c>
      <c r="E2598" s="31" t="n">
        <v>1360</v>
      </c>
      <c r="F2598" s="31" t="n">
        <v>204</v>
      </c>
      <c r="G2598" s="37" t="n">
        <v>0.15</v>
      </c>
    </row>
    <row r="2599" customFormat="false" ht="15" hidden="false" customHeight="false" outlineLevel="0" collapsed="false">
      <c r="A2599" s="20" t="s">
        <v>2989</v>
      </c>
      <c r="B2599" s="20" t="s">
        <v>2990</v>
      </c>
      <c r="C2599" s="9" t="s">
        <v>203</v>
      </c>
      <c r="D2599" s="9" t="n">
        <v>10</v>
      </c>
      <c r="E2599" s="30" t="n">
        <v>1360</v>
      </c>
      <c r="F2599" s="30" t="n">
        <v>200</v>
      </c>
      <c r="G2599" s="35" t="n">
        <v>0.147058823529412</v>
      </c>
    </row>
    <row r="2600" customFormat="false" ht="15" hidden="false" customHeight="false" outlineLevel="0" collapsed="false">
      <c r="A2600" s="25" t="s">
        <v>2991</v>
      </c>
      <c r="B2600" s="25" t="s">
        <v>200</v>
      </c>
      <c r="C2600" s="29" t="s">
        <v>391</v>
      </c>
      <c r="D2600" s="29" t="n">
        <v>2</v>
      </c>
      <c r="E2600" s="31" t="n">
        <v>1352</v>
      </c>
      <c r="F2600" s="31" t="n">
        <v>260</v>
      </c>
      <c r="G2600" s="37" t="n">
        <v>0.192307692307692</v>
      </c>
    </row>
    <row r="2601" customFormat="false" ht="15" hidden="false" customHeight="false" outlineLevel="0" collapsed="false">
      <c r="A2601" s="20" t="s">
        <v>2992</v>
      </c>
      <c r="B2601" s="20" t="s">
        <v>194</v>
      </c>
      <c r="C2601" s="9" t="s">
        <v>368</v>
      </c>
      <c r="D2601" s="9" t="n">
        <v>10</v>
      </c>
      <c r="E2601" s="30" t="n">
        <v>1350</v>
      </c>
      <c r="F2601" s="30" t="n">
        <v>200</v>
      </c>
      <c r="G2601" s="35" t="n">
        <v>0.148148148148148</v>
      </c>
    </row>
    <row r="2602" customFormat="false" ht="15" hidden="false" customHeight="false" outlineLevel="0" collapsed="false">
      <c r="A2602" s="25" t="s">
        <v>2993</v>
      </c>
      <c r="B2602" s="29" t="s">
        <v>253</v>
      </c>
      <c r="C2602" s="29" t="s">
        <v>428</v>
      </c>
      <c r="D2602" s="29" t="n">
        <v>1</v>
      </c>
      <c r="E2602" s="31" t="n">
        <v>1342</v>
      </c>
      <c r="F2602" s="31" t="n">
        <v>699</v>
      </c>
      <c r="G2602" s="37" t="n">
        <v>0.520864381520119</v>
      </c>
    </row>
    <row r="2603" customFormat="false" ht="15" hidden="false" customHeight="false" outlineLevel="0" collapsed="false">
      <c r="A2603" s="20" t="s">
        <v>2994</v>
      </c>
      <c r="B2603" s="20" t="s">
        <v>194</v>
      </c>
      <c r="C2603" s="9" t="s">
        <v>203</v>
      </c>
      <c r="D2603" s="9" t="n">
        <v>1</v>
      </c>
      <c r="E2603" s="30" t="n">
        <v>1319</v>
      </c>
      <c r="F2603" s="30" t="n">
        <v>703</v>
      </c>
      <c r="G2603" s="35" t="n">
        <v>0.53297952994693</v>
      </c>
    </row>
    <row r="2604" customFormat="false" ht="15" hidden="false" customHeight="false" outlineLevel="0" collapsed="false">
      <c r="A2604" s="25" t="s">
        <v>2995</v>
      </c>
      <c r="B2604" s="25" t="s">
        <v>200</v>
      </c>
      <c r="C2604" s="29" t="s">
        <v>880</v>
      </c>
      <c r="D2604" s="29" t="n">
        <v>1</v>
      </c>
      <c r="E2604" s="31" t="n">
        <v>1319</v>
      </c>
      <c r="F2604" s="31" t="n">
        <v>198</v>
      </c>
      <c r="G2604" s="37" t="n">
        <v>0.150113722517058</v>
      </c>
    </row>
    <row r="2605" customFormat="false" ht="15" hidden="false" customHeight="false" outlineLevel="0" collapsed="false">
      <c r="A2605" s="20" t="s">
        <v>2996</v>
      </c>
      <c r="B2605" s="9" t="s">
        <v>253</v>
      </c>
      <c r="C2605" s="9" t="s">
        <v>428</v>
      </c>
      <c r="D2605" s="9" t="n">
        <v>10</v>
      </c>
      <c r="E2605" s="30" t="n">
        <v>1310</v>
      </c>
      <c r="F2605" s="30" t="n">
        <v>600</v>
      </c>
      <c r="G2605" s="35" t="n">
        <v>0.458015267175573</v>
      </c>
    </row>
    <row r="2606" customFormat="false" ht="15" hidden="false" customHeight="false" outlineLevel="0" collapsed="false">
      <c r="A2606" s="25" t="s">
        <v>2997</v>
      </c>
      <c r="B2606" s="29" t="s">
        <v>2998</v>
      </c>
      <c r="C2606" s="29" t="s">
        <v>229</v>
      </c>
      <c r="D2606" s="29" t="n">
        <v>10</v>
      </c>
      <c r="E2606" s="31" t="n">
        <v>1300</v>
      </c>
      <c r="F2606" s="31" t="n">
        <v>195</v>
      </c>
      <c r="G2606" s="37" t="n">
        <v>0.15</v>
      </c>
    </row>
    <row r="2607" customFormat="false" ht="15" hidden="false" customHeight="false" outlineLevel="0" collapsed="false">
      <c r="A2607" s="20" t="s">
        <v>2999</v>
      </c>
      <c r="B2607" s="9" t="s">
        <v>253</v>
      </c>
      <c r="C2607" s="9" t="s">
        <v>428</v>
      </c>
      <c r="D2607" s="9" t="n">
        <v>20</v>
      </c>
      <c r="E2607" s="30" t="n">
        <v>1300</v>
      </c>
      <c r="F2607" s="30" t="n">
        <v>700</v>
      </c>
      <c r="G2607" s="35" t="n">
        <v>0.538461538461538</v>
      </c>
    </row>
    <row r="2608" customFormat="false" ht="15" hidden="false" customHeight="false" outlineLevel="0" collapsed="false">
      <c r="A2608" s="25" t="s">
        <v>3000</v>
      </c>
      <c r="B2608" s="25" t="s">
        <v>194</v>
      </c>
      <c r="C2608" s="29" t="s">
        <v>195</v>
      </c>
      <c r="D2608" s="29" t="n">
        <v>1</v>
      </c>
      <c r="E2608" s="31" t="n">
        <v>1300</v>
      </c>
      <c r="F2608" s="31" t="n">
        <v>195</v>
      </c>
      <c r="G2608" s="37" t="n">
        <v>0.15</v>
      </c>
    </row>
    <row r="2609" customFormat="false" ht="15" hidden="false" customHeight="false" outlineLevel="0" collapsed="false">
      <c r="A2609" s="20" t="s">
        <v>3001</v>
      </c>
      <c r="B2609" s="20" t="s">
        <v>200</v>
      </c>
      <c r="C2609" s="9" t="s">
        <v>880</v>
      </c>
      <c r="D2609" s="9" t="n">
        <v>2</v>
      </c>
      <c r="E2609" s="30" t="n">
        <v>1298</v>
      </c>
      <c r="F2609" s="30" t="n">
        <v>198</v>
      </c>
      <c r="G2609" s="35" t="n">
        <v>0.152542372881356</v>
      </c>
    </row>
    <row r="2610" customFormat="false" ht="15" hidden="false" customHeight="false" outlineLevel="0" collapsed="false">
      <c r="A2610" s="25" t="s">
        <v>3002</v>
      </c>
      <c r="B2610" s="25" t="s">
        <v>194</v>
      </c>
      <c r="C2610" s="29" t="s">
        <v>203</v>
      </c>
      <c r="D2610" s="29" t="n">
        <v>1</v>
      </c>
      <c r="E2610" s="31" t="n">
        <v>1282</v>
      </c>
      <c r="F2610" s="31" t="n">
        <v>192</v>
      </c>
      <c r="G2610" s="37" t="n">
        <v>0.149765990639626</v>
      </c>
    </row>
    <row r="2611" customFormat="false" ht="15" hidden="false" customHeight="false" outlineLevel="0" collapsed="false">
      <c r="A2611" s="20" t="s">
        <v>3003</v>
      </c>
      <c r="B2611" s="20" t="s">
        <v>2168</v>
      </c>
      <c r="C2611" s="9" t="s">
        <v>334</v>
      </c>
      <c r="D2611" s="9" t="n">
        <v>2</v>
      </c>
      <c r="E2611" s="30" t="n">
        <v>1280</v>
      </c>
      <c r="F2611" s="30" t="n">
        <v>192</v>
      </c>
      <c r="G2611" s="35" t="n">
        <v>0.15</v>
      </c>
    </row>
    <row r="2612" customFormat="false" ht="15" hidden="false" customHeight="false" outlineLevel="0" collapsed="false">
      <c r="A2612" s="25" t="s">
        <v>3004</v>
      </c>
      <c r="B2612" s="29" t="s">
        <v>253</v>
      </c>
      <c r="C2612" s="29" t="s">
        <v>428</v>
      </c>
      <c r="D2612" s="29" t="n">
        <v>1</v>
      </c>
      <c r="E2612" s="31" t="n">
        <v>1272</v>
      </c>
      <c r="F2612" s="31" t="n">
        <v>702</v>
      </c>
      <c r="G2612" s="37" t="n">
        <v>0.55188679245283</v>
      </c>
    </row>
    <row r="2613" customFormat="false" ht="15" hidden="false" customHeight="false" outlineLevel="0" collapsed="false">
      <c r="A2613" s="20" t="s">
        <v>3005</v>
      </c>
      <c r="B2613" s="20" t="s">
        <v>194</v>
      </c>
      <c r="C2613" s="9" t="s">
        <v>223</v>
      </c>
      <c r="D2613" s="9" t="n">
        <v>1</v>
      </c>
      <c r="E2613" s="30" t="n">
        <v>1259</v>
      </c>
      <c r="F2613" s="30" t="n">
        <v>189</v>
      </c>
      <c r="G2613" s="35" t="n">
        <v>0.15011914217633</v>
      </c>
    </row>
    <row r="2614" customFormat="false" ht="15" hidden="false" customHeight="false" outlineLevel="0" collapsed="false">
      <c r="A2614" s="25" t="s">
        <v>3006</v>
      </c>
      <c r="B2614" s="25" t="s">
        <v>240</v>
      </c>
      <c r="C2614" s="29" t="s">
        <v>768</v>
      </c>
      <c r="D2614" s="29" t="n">
        <v>5</v>
      </c>
      <c r="E2614" s="31" t="n">
        <v>1250</v>
      </c>
      <c r="F2614" s="31" t="n">
        <v>185</v>
      </c>
      <c r="G2614" s="37" t="n">
        <v>0.148</v>
      </c>
    </row>
    <row r="2615" customFormat="false" ht="15" hidden="false" customHeight="false" outlineLevel="0" collapsed="false">
      <c r="A2615" s="20" t="s">
        <v>3007</v>
      </c>
      <c r="B2615" s="9" t="s">
        <v>216</v>
      </c>
      <c r="C2615" s="9" t="s">
        <v>428</v>
      </c>
      <c r="D2615" s="9" t="n">
        <v>1</v>
      </c>
      <c r="E2615" s="30" t="n">
        <v>1248</v>
      </c>
      <c r="F2615" s="30" t="n">
        <v>755</v>
      </c>
      <c r="G2615" s="35" t="n">
        <v>0.604967948717949</v>
      </c>
    </row>
    <row r="2616" customFormat="false" ht="15" hidden="false" customHeight="false" outlineLevel="0" collapsed="false">
      <c r="A2616" s="25" t="s">
        <v>3008</v>
      </c>
      <c r="B2616" s="25" t="s">
        <v>194</v>
      </c>
      <c r="C2616" s="29" t="s">
        <v>203</v>
      </c>
      <c r="D2616" s="29" t="n">
        <v>1</v>
      </c>
      <c r="E2616" s="31" t="n">
        <v>1242</v>
      </c>
      <c r="F2616" s="31" t="n">
        <v>186</v>
      </c>
      <c r="G2616" s="37" t="n">
        <v>0.14975845410628</v>
      </c>
    </row>
    <row r="2617" customFormat="false" ht="15" hidden="false" customHeight="false" outlineLevel="0" collapsed="false">
      <c r="A2617" s="20" t="s">
        <v>3009</v>
      </c>
      <c r="B2617" s="9" t="s">
        <v>3010</v>
      </c>
      <c r="C2617" s="9" t="s">
        <v>229</v>
      </c>
      <c r="D2617" s="9" t="n">
        <v>3</v>
      </c>
      <c r="E2617" s="30" t="n">
        <v>1236</v>
      </c>
      <c r="F2617" s="30" t="n">
        <v>186</v>
      </c>
      <c r="G2617" s="35" t="n">
        <v>0.150485436893204</v>
      </c>
    </row>
    <row r="2618" customFormat="false" ht="15" hidden="false" customHeight="false" outlineLevel="0" collapsed="false">
      <c r="A2618" s="25" t="s">
        <v>3011</v>
      </c>
      <c r="B2618" s="25" t="s">
        <v>1834</v>
      </c>
      <c r="C2618" s="29" t="s">
        <v>880</v>
      </c>
      <c r="D2618" s="29" t="n">
        <v>1</v>
      </c>
      <c r="E2618" s="31" t="n">
        <v>1231</v>
      </c>
      <c r="F2618" s="31" t="n">
        <v>185</v>
      </c>
      <c r="G2618" s="37" t="n">
        <v>0.150284321689683</v>
      </c>
    </row>
    <row r="2619" customFormat="false" ht="15" hidden="false" customHeight="false" outlineLevel="0" collapsed="false">
      <c r="A2619" s="20" t="s">
        <v>3012</v>
      </c>
      <c r="B2619" s="20" t="s">
        <v>240</v>
      </c>
      <c r="C2619" s="9" t="s">
        <v>203</v>
      </c>
      <c r="D2619" s="9" t="n">
        <v>1</v>
      </c>
      <c r="E2619" s="30" t="n">
        <v>1226</v>
      </c>
      <c r="F2619" s="30" t="n">
        <v>906</v>
      </c>
      <c r="G2619" s="35" t="n">
        <v>0.738988580750408</v>
      </c>
    </row>
    <row r="2620" customFormat="false" ht="15" hidden="false" customHeight="false" outlineLevel="0" collapsed="false">
      <c r="A2620" s="25" t="s">
        <v>3013</v>
      </c>
      <c r="B2620" s="25" t="s">
        <v>194</v>
      </c>
      <c r="C2620" s="29" t="s">
        <v>223</v>
      </c>
      <c r="D2620" s="29" t="n">
        <v>1</v>
      </c>
      <c r="E2620" s="31" t="n">
        <v>1219</v>
      </c>
      <c r="F2620" s="31" t="n">
        <v>268</v>
      </c>
      <c r="G2620" s="37" t="n">
        <v>0.219852337981952</v>
      </c>
    </row>
    <row r="2621" customFormat="false" ht="15" hidden="false" customHeight="false" outlineLevel="0" collapsed="false">
      <c r="A2621" s="20" t="s">
        <v>3014</v>
      </c>
      <c r="B2621" s="9" t="s">
        <v>253</v>
      </c>
      <c r="C2621" s="9" t="s">
        <v>428</v>
      </c>
      <c r="D2621" s="9" t="n">
        <v>1</v>
      </c>
      <c r="E2621" s="30" t="n">
        <v>1207</v>
      </c>
      <c r="F2621" s="30" t="n">
        <v>662</v>
      </c>
      <c r="G2621" s="35" t="n">
        <v>0.548467274233637</v>
      </c>
    </row>
    <row r="2622" customFormat="false" ht="15" hidden="false" customHeight="false" outlineLevel="0" collapsed="false">
      <c r="A2622" s="25" t="s">
        <v>3015</v>
      </c>
      <c r="B2622" s="25" t="s">
        <v>194</v>
      </c>
      <c r="C2622" s="29" t="s">
        <v>203</v>
      </c>
      <c r="D2622" s="29" t="n">
        <v>1</v>
      </c>
      <c r="E2622" s="31" t="n">
        <v>1191</v>
      </c>
      <c r="F2622" s="31" t="n">
        <v>179</v>
      </c>
      <c r="G2622" s="37" t="n">
        <v>0.150293870696893</v>
      </c>
    </row>
    <row r="2623" customFormat="false" ht="15" hidden="false" customHeight="false" outlineLevel="0" collapsed="false">
      <c r="A2623" s="20" t="s">
        <v>3016</v>
      </c>
      <c r="B2623" s="20" t="s">
        <v>194</v>
      </c>
      <c r="C2623" s="9" t="s">
        <v>223</v>
      </c>
      <c r="D2623" s="9" t="n">
        <v>1</v>
      </c>
      <c r="E2623" s="30" t="n">
        <v>1180</v>
      </c>
      <c r="F2623" s="30" t="n">
        <v>284</v>
      </c>
      <c r="G2623" s="35" t="n">
        <v>0.240677966101695</v>
      </c>
    </row>
    <row r="2624" customFormat="false" ht="15" hidden="false" customHeight="false" outlineLevel="0" collapsed="false">
      <c r="A2624" s="25" t="s">
        <v>3017</v>
      </c>
      <c r="B2624" s="25" t="s">
        <v>240</v>
      </c>
      <c r="C2624" s="29" t="s">
        <v>768</v>
      </c>
      <c r="D2624" s="29" t="n">
        <v>13</v>
      </c>
      <c r="E2624" s="31" t="n">
        <v>1180</v>
      </c>
      <c r="F2624" s="31" t="n">
        <v>-796</v>
      </c>
      <c r="G2624" s="37" t="n">
        <v>-0.674576271186441</v>
      </c>
    </row>
    <row r="2625" customFormat="false" ht="15" hidden="false" customHeight="false" outlineLevel="0" collapsed="false">
      <c r="A2625" s="20" t="s">
        <v>3018</v>
      </c>
      <c r="B2625" s="9" t="s">
        <v>216</v>
      </c>
      <c r="C2625" s="9" t="s">
        <v>428</v>
      </c>
      <c r="D2625" s="9" t="n">
        <v>1</v>
      </c>
      <c r="E2625" s="30" t="n">
        <v>1177</v>
      </c>
      <c r="F2625" s="30" t="n">
        <v>714</v>
      </c>
      <c r="G2625" s="35" t="n">
        <v>0.606627017841971</v>
      </c>
    </row>
    <row r="2626" customFormat="false" ht="15" hidden="false" customHeight="false" outlineLevel="0" collapsed="false">
      <c r="A2626" s="25" t="s">
        <v>3019</v>
      </c>
      <c r="B2626" s="25" t="s">
        <v>220</v>
      </c>
      <c r="C2626" s="29" t="s">
        <v>217</v>
      </c>
      <c r="D2626" s="29" t="n">
        <v>2</v>
      </c>
      <c r="E2626" s="31" t="n">
        <v>1164</v>
      </c>
      <c r="F2626" s="31" t="n">
        <v>656</v>
      </c>
      <c r="G2626" s="37" t="n">
        <v>0.563573883161512</v>
      </c>
    </row>
    <row r="2627" customFormat="false" ht="15" hidden="false" customHeight="false" outlineLevel="0" collapsed="false">
      <c r="A2627" s="20" t="s">
        <v>3020</v>
      </c>
      <c r="B2627" s="9" t="s">
        <v>253</v>
      </c>
      <c r="C2627" s="9" t="s">
        <v>428</v>
      </c>
      <c r="D2627" s="9" t="n">
        <v>2</v>
      </c>
      <c r="E2627" s="30" t="n">
        <v>1160</v>
      </c>
      <c r="F2627" s="30" t="n">
        <v>530</v>
      </c>
      <c r="G2627" s="35" t="n">
        <v>0.456896551724138</v>
      </c>
    </row>
    <row r="2628" customFormat="false" ht="15" hidden="false" customHeight="false" outlineLevel="0" collapsed="false">
      <c r="A2628" s="25" t="s">
        <v>3021</v>
      </c>
      <c r="B2628" s="29" t="s">
        <v>253</v>
      </c>
      <c r="C2628" s="29" t="s">
        <v>428</v>
      </c>
      <c r="D2628" s="29" t="n">
        <v>1</v>
      </c>
      <c r="E2628" s="31" t="n">
        <v>1156</v>
      </c>
      <c r="F2628" s="31" t="n">
        <v>674</v>
      </c>
      <c r="G2628" s="37" t="n">
        <v>0.583044982698962</v>
      </c>
    </row>
    <row r="2629" customFormat="false" ht="15" hidden="false" customHeight="false" outlineLevel="0" collapsed="false">
      <c r="A2629" s="20" t="s">
        <v>3022</v>
      </c>
      <c r="B2629" s="20" t="s">
        <v>200</v>
      </c>
      <c r="C2629" s="9" t="s">
        <v>355</v>
      </c>
      <c r="D2629" s="9" t="n">
        <v>1</v>
      </c>
      <c r="E2629" s="30" t="n">
        <v>1156</v>
      </c>
      <c r="F2629" s="30" t="n">
        <v>173</v>
      </c>
      <c r="G2629" s="35" t="n">
        <v>0.149653979238754</v>
      </c>
    </row>
    <row r="2630" customFormat="false" ht="15" hidden="false" customHeight="false" outlineLevel="0" collapsed="false">
      <c r="A2630" s="25" t="s">
        <v>3023</v>
      </c>
      <c r="B2630" s="29" t="s">
        <v>216</v>
      </c>
      <c r="C2630" s="29" t="s">
        <v>428</v>
      </c>
      <c r="D2630" s="29" t="n">
        <v>1</v>
      </c>
      <c r="E2630" s="31" t="n">
        <v>1155</v>
      </c>
      <c r="F2630" s="31" t="n">
        <v>534</v>
      </c>
      <c r="G2630" s="37" t="n">
        <v>0.462337662337662</v>
      </c>
    </row>
    <row r="2631" customFormat="false" ht="15" hidden="false" customHeight="false" outlineLevel="0" collapsed="false">
      <c r="A2631" s="20" t="s">
        <v>3024</v>
      </c>
      <c r="B2631" s="20" t="s">
        <v>194</v>
      </c>
      <c r="C2631" s="9" t="s">
        <v>223</v>
      </c>
      <c r="D2631" s="9" t="n">
        <v>1</v>
      </c>
      <c r="E2631" s="30" t="n">
        <v>1151</v>
      </c>
      <c r="F2631" s="30" t="n">
        <v>173</v>
      </c>
      <c r="G2631" s="35" t="n">
        <v>0.150304083405734</v>
      </c>
    </row>
    <row r="2632" customFormat="false" ht="15" hidden="false" customHeight="false" outlineLevel="0" collapsed="false">
      <c r="A2632" s="25" t="s">
        <v>3025</v>
      </c>
      <c r="B2632" s="25" t="s">
        <v>194</v>
      </c>
      <c r="C2632" s="29" t="s">
        <v>203</v>
      </c>
      <c r="D2632" s="29" t="n">
        <v>1</v>
      </c>
      <c r="E2632" s="31" t="n">
        <v>1148</v>
      </c>
      <c r="F2632" s="31" t="n">
        <v>337</v>
      </c>
      <c r="G2632" s="37" t="n">
        <v>0.293554006968641</v>
      </c>
    </row>
    <row r="2633" customFormat="false" ht="15" hidden="false" customHeight="false" outlineLevel="0" collapsed="false">
      <c r="A2633" s="20" t="s">
        <v>3026</v>
      </c>
      <c r="B2633" s="20" t="s">
        <v>200</v>
      </c>
      <c r="C2633" s="9" t="s">
        <v>2151</v>
      </c>
      <c r="D2633" s="9" t="n">
        <v>1</v>
      </c>
      <c r="E2633" s="30" t="n">
        <v>1148</v>
      </c>
      <c r="F2633" s="30" t="n">
        <v>172</v>
      </c>
      <c r="G2633" s="35" t="n">
        <v>0.149825783972125</v>
      </c>
    </row>
    <row r="2634" customFormat="false" ht="15" hidden="false" customHeight="false" outlineLevel="0" collapsed="false">
      <c r="A2634" s="25" t="s">
        <v>3027</v>
      </c>
      <c r="B2634" s="25" t="s">
        <v>1834</v>
      </c>
      <c r="C2634" s="29" t="s">
        <v>880</v>
      </c>
      <c r="D2634" s="29" t="n">
        <v>1</v>
      </c>
      <c r="E2634" s="31" t="n">
        <v>1144</v>
      </c>
      <c r="F2634" s="31" t="n">
        <v>172</v>
      </c>
      <c r="G2634" s="37" t="n">
        <v>0.15034965034965</v>
      </c>
    </row>
    <row r="2635" customFormat="false" ht="15" hidden="false" customHeight="false" outlineLevel="0" collapsed="false">
      <c r="A2635" s="20" t="s">
        <v>3028</v>
      </c>
      <c r="B2635" s="9" t="s">
        <v>253</v>
      </c>
      <c r="C2635" s="9" t="s">
        <v>428</v>
      </c>
      <c r="D2635" s="9" t="n">
        <v>1</v>
      </c>
      <c r="E2635" s="30" t="n">
        <v>1142</v>
      </c>
      <c r="F2635" s="30" t="n">
        <v>682</v>
      </c>
      <c r="G2635" s="35" t="n">
        <v>0.597197898423818</v>
      </c>
    </row>
    <row r="2636" customFormat="false" ht="15" hidden="false" customHeight="false" outlineLevel="0" collapsed="false">
      <c r="A2636" s="25" t="s">
        <v>3029</v>
      </c>
      <c r="B2636" s="29" t="s">
        <v>253</v>
      </c>
      <c r="C2636" s="29" t="s">
        <v>229</v>
      </c>
      <c r="D2636" s="29" t="n">
        <v>1</v>
      </c>
      <c r="E2636" s="31" t="n">
        <v>1139</v>
      </c>
      <c r="F2636" s="31" t="n">
        <v>171</v>
      </c>
      <c r="G2636" s="37" t="n">
        <v>0.150131694468832</v>
      </c>
    </row>
    <row r="2637" customFormat="false" ht="15" hidden="false" customHeight="false" outlineLevel="0" collapsed="false">
      <c r="A2637" s="20" t="s">
        <v>3030</v>
      </c>
      <c r="B2637" s="20" t="s">
        <v>220</v>
      </c>
      <c r="C2637" s="9" t="s">
        <v>217</v>
      </c>
      <c r="D2637" s="9" t="n">
        <v>3</v>
      </c>
      <c r="E2637" s="30" t="n">
        <v>1131</v>
      </c>
      <c r="F2637" s="30" t="n">
        <v>170</v>
      </c>
      <c r="G2637" s="35" t="n">
        <v>0.150309460654288</v>
      </c>
    </row>
    <row r="2638" customFormat="false" ht="15" hidden="false" customHeight="false" outlineLevel="0" collapsed="false">
      <c r="A2638" s="25" t="s">
        <v>3031</v>
      </c>
      <c r="B2638" s="29" t="s">
        <v>216</v>
      </c>
      <c r="C2638" s="29" t="s">
        <v>229</v>
      </c>
      <c r="D2638" s="29" t="n">
        <v>1</v>
      </c>
      <c r="E2638" s="31" t="n">
        <v>1129</v>
      </c>
      <c r="F2638" s="31" t="n">
        <v>169</v>
      </c>
      <c r="G2638" s="37" t="n">
        <v>0.149689991142604</v>
      </c>
    </row>
    <row r="2639" customFormat="false" ht="15" hidden="false" customHeight="false" outlineLevel="0" collapsed="false">
      <c r="A2639" s="20" t="s">
        <v>3032</v>
      </c>
      <c r="B2639" s="20" t="s">
        <v>194</v>
      </c>
      <c r="C2639" s="9" t="s">
        <v>203</v>
      </c>
      <c r="D2639" s="9" t="n">
        <v>1</v>
      </c>
      <c r="E2639" s="30" t="n">
        <v>1120</v>
      </c>
      <c r="F2639" s="30" t="n">
        <v>168</v>
      </c>
      <c r="G2639" s="35" t="n">
        <v>0.15</v>
      </c>
    </row>
    <row r="2640" customFormat="false" ht="15" hidden="false" customHeight="false" outlineLevel="0" collapsed="false">
      <c r="A2640" s="25" t="s">
        <v>3033</v>
      </c>
      <c r="B2640" s="25" t="s">
        <v>194</v>
      </c>
      <c r="C2640" s="29" t="s">
        <v>223</v>
      </c>
      <c r="D2640" s="29" t="n">
        <v>2</v>
      </c>
      <c r="E2640" s="31" t="n">
        <v>1118</v>
      </c>
      <c r="F2640" s="31" t="n">
        <v>240</v>
      </c>
      <c r="G2640" s="37" t="n">
        <v>0.214669051878354</v>
      </c>
    </row>
    <row r="2641" customFormat="false" ht="15" hidden="false" customHeight="false" outlineLevel="0" collapsed="false">
      <c r="A2641" s="20" t="s">
        <v>3034</v>
      </c>
      <c r="B2641" s="20" t="s">
        <v>855</v>
      </c>
      <c r="C2641" s="9" t="s">
        <v>334</v>
      </c>
      <c r="D2641" s="9" t="n">
        <v>4</v>
      </c>
      <c r="E2641" s="30" t="n">
        <v>1100</v>
      </c>
      <c r="F2641" s="30" t="n">
        <v>165</v>
      </c>
      <c r="G2641" s="35" t="n">
        <v>0.15</v>
      </c>
    </row>
    <row r="2642" customFormat="false" ht="15" hidden="false" customHeight="false" outlineLevel="0" collapsed="false">
      <c r="A2642" s="25" t="s">
        <v>3035</v>
      </c>
      <c r="B2642" s="25" t="s">
        <v>194</v>
      </c>
      <c r="C2642" s="29" t="s">
        <v>203</v>
      </c>
      <c r="D2642" s="29" t="n">
        <v>1</v>
      </c>
      <c r="E2642" s="31" t="n">
        <v>1098</v>
      </c>
      <c r="F2642" s="31" t="n">
        <v>165</v>
      </c>
      <c r="G2642" s="37" t="n">
        <v>0.150273224043716</v>
      </c>
    </row>
    <row r="2643" customFormat="false" ht="15" hidden="false" customHeight="false" outlineLevel="0" collapsed="false">
      <c r="A2643" s="20" t="s">
        <v>3036</v>
      </c>
      <c r="B2643" s="9" t="s">
        <v>253</v>
      </c>
      <c r="C2643" s="9" t="s">
        <v>428</v>
      </c>
      <c r="D2643" s="9" t="n">
        <v>1</v>
      </c>
      <c r="E2643" s="30" t="n">
        <v>1096</v>
      </c>
      <c r="F2643" s="30" t="n">
        <v>541</v>
      </c>
      <c r="G2643" s="35" t="n">
        <v>0.493613138686131</v>
      </c>
    </row>
    <row r="2644" customFormat="false" ht="15" hidden="false" customHeight="false" outlineLevel="0" collapsed="false">
      <c r="A2644" s="25" t="s">
        <v>3037</v>
      </c>
      <c r="B2644" s="25" t="s">
        <v>200</v>
      </c>
      <c r="C2644" s="29" t="s">
        <v>768</v>
      </c>
      <c r="D2644" s="29" t="n">
        <v>13</v>
      </c>
      <c r="E2644" s="31" t="n">
        <v>1060</v>
      </c>
      <c r="F2644" s="31" t="n">
        <v>-1124</v>
      </c>
      <c r="G2644" s="37" t="n">
        <v>-1.06037735849057</v>
      </c>
    </row>
    <row r="2645" customFormat="false" ht="15" hidden="false" customHeight="false" outlineLevel="0" collapsed="false">
      <c r="A2645" s="20" t="s">
        <v>3038</v>
      </c>
      <c r="B2645" s="20" t="s">
        <v>3039</v>
      </c>
      <c r="C2645" s="9" t="s">
        <v>223</v>
      </c>
      <c r="D2645" s="9" t="n">
        <v>6</v>
      </c>
      <c r="E2645" s="30" t="n">
        <v>1050</v>
      </c>
      <c r="F2645" s="30" t="n">
        <v>156</v>
      </c>
      <c r="G2645" s="35" t="n">
        <v>0.148571428571429</v>
      </c>
    </row>
    <row r="2646" customFormat="false" ht="15" hidden="false" customHeight="false" outlineLevel="0" collapsed="false">
      <c r="A2646" s="25" t="s">
        <v>3040</v>
      </c>
      <c r="B2646" s="25" t="s">
        <v>3041</v>
      </c>
      <c r="C2646" s="29" t="s">
        <v>290</v>
      </c>
      <c r="D2646" s="29" t="n">
        <v>1</v>
      </c>
      <c r="E2646" s="31" t="n">
        <v>1045</v>
      </c>
      <c r="F2646" s="31" t="n">
        <v>157</v>
      </c>
      <c r="G2646" s="37" t="n">
        <v>0.150239234449761</v>
      </c>
    </row>
    <row r="2647" customFormat="false" ht="15" hidden="false" customHeight="false" outlineLevel="0" collapsed="false">
      <c r="A2647" s="20" t="s">
        <v>3042</v>
      </c>
      <c r="B2647" s="20" t="s">
        <v>194</v>
      </c>
      <c r="C2647" s="9" t="s">
        <v>209</v>
      </c>
      <c r="D2647" s="9" t="n">
        <v>1</v>
      </c>
      <c r="E2647" s="30" t="n">
        <v>1044</v>
      </c>
      <c r="F2647" s="30" t="n">
        <v>529</v>
      </c>
      <c r="G2647" s="35" t="n">
        <v>0.506704980842912</v>
      </c>
    </row>
    <row r="2648" customFormat="false" ht="15" hidden="false" customHeight="false" outlineLevel="0" collapsed="false">
      <c r="A2648" s="25" t="s">
        <v>3043</v>
      </c>
      <c r="B2648" s="25" t="s">
        <v>200</v>
      </c>
      <c r="C2648" s="29" t="s">
        <v>223</v>
      </c>
      <c r="D2648" s="29" t="n">
        <v>1</v>
      </c>
      <c r="E2648" s="31" t="n">
        <v>1038</v>
      </c>
      <c r="F2648" s="31" t="n">
        <v>156</v>
      </c>
      <c r="G2648" s="37" t="n">
        <v>0.15028901734104</v>
      </c>
    </row>
    <row r="2649" customFormat="false" ht="15" hidden="false" customHeight="false" outlineLevel="0" collapsed="false">
      <c r="A2649" s="20" t="s">
        <v>3044</v>
      </c>
      <c r="B2649" s="20" t="s">
        <v>2476</v>
      </c>
      <c r="C2649" s="9" t="s">
        <v>316</v>
      </c>
      <c r="D2649" s="9" t="n">
        <v>11</v>
      </c>
      <c r="E2649" s="30" t="n">
        <v>1034</v>
      </c>
      <c r="F2649" s="30" t="n">
        <v>155</v>
      </c>
      <c r="G2649" s="35" t="n">
        <v>0.149903288201161</v>
      </c>
    </row>
    <row r="2650" customFormat="false" ht="15" hidden="false" customHeight="false" outlineLevel="0" collapsed="false">
      <c r="A2650" s="25" t="s">
        <v>3045</v>
      </c>
      <c r="B2650" s="25" t="s">
        <v>2476</v>
      </c>
      <c r="C2650" s="29" t="s">
        <v>316</v>
      </c>
      <c r="D2650" s="29" t="n">
        <v>11</v>
      </c>
      <c r="E2650" s="31" t="n">
        <v>1034</v>
      </c>
      <c r="F2650" s="31" t="n">
        <v>155</v>
      </c>
      <c r="G2650" s="37" t="n">
        <v>0.149903288201161</v>
      </c>
    </row>
    <row r="2651" customFormat="false" ht="15" hidden="false" customHeight="false" outlineLevel="0" collapsed="false">
      <c r="A2651" s="20" t="s">
        <v>3046</v>
      </c>
      <c r="B2651" s="20" t="s">
        <v>2476</v>
      </c>
      <c r="C2651" s="9" t="s">
        <v>316</v>
      </c>
      <c r="D2651" s="9" t="n">
        <v>11</v>
      </c>
      <c r="E2651" s="30" t="n">
        <v>1034</v>
      </c>
      <c r="F2651" s="30" t="n">
        <v>155</v>
      </c>
      <c r="G2651" s="35" t="n">
        <v>0.149903288201161</v>
      </c>
    </row>
    <row r="2652" customFormat="false" ht="15" hidden="false" customHeight="false" outlineLevel="0" collapsed="false">
      <c r="A2652" s="25" t="s">
        <v>3047</v>
      </c>
      <c r="B2652" s="25" t="s">
        <v>2496</v>
      </c>
      <c r="C2652" s="29" t="s">
        <v>203</v>
      </c>
      <c r="D2652" s="29" t="n">
        <v>3</v>
      </c>
      <c r="E2652" s="31" t="n">
        <v>1026</v>
      </c>
      <c r="F2652" s="31" t="n">
        <v>153</v>
      </c>
      <c r="G2652" s="37" t="n">
        <v>0.149122807017544</v>
      </c>
    </row>
    <row r="2653" customFormat="false" ht="15" hidden="false" customHeight="false" outlineLevel="0" collapsed="false">
      <c r="A2653" s="20" t="s">
        <v>3048</v>
      </c>
      <c r="B2653" s="20" t="s">
        <v>200</v>
      </c>
      <c r="C2653" s="9" t="s">
        <v>223</v>
      </c>
      <c r="D2653" s="9" t="n">
        <v>1</v>
      </c>
      <c r="E2653" s="30" t="n">
        <v>1025</v>
      </c>
      <c r="F2653" s="30" t="n">
        <v>154</v>
      </c>
      <c r="G2653" s="35" t="n">
        <v>0.150243902439024</v>
      </c>
    </row>
    <row r="2654" customFormat="false" ht="15" hidden="false" customHeight="false" outlineLevel="0" collapsed="false">
      <c r="A2654" s="25" t="s">
        <v>3049</v>
      </c>
      <c r="B2654" s="25" t="s">
        <v>194</v>
      </c>
      <c r="C2654" s="29" t="s">
        <v>223</v>
      </c>
      <c r="D2654" s="29" t="n">
        <v>1</v>
      </c>
      <c r="E2654" s="31" t="n">
        <v>1023</v>
      </c>
      <c r="F2654" s="31" t="n">
        <v>153</v>
      </c>
      <c r="G2654" s="37" t="n">
        <v>0.149560117302053</v>
      </c>
    </row>
    <row r="2655" customFormat="false" ht="15" hidden="false" customHeight="false" outlineLevel="0" collapsed="false">
      <c r="A2655" s="20" t="s">
        <v>3050</v>
      </c>
      <c r="B2655" s="9" t="s">
        <v>253</v>
      </c>
      <c r="C2655" s="9" t="s">
        <v>223</v>
      </c>
      <c r="D2655" s="9" t="n">
        <v>1</v>
      </c>
      <c r="E2655" s="30" t="n">
        <v>1018</v>
      </c>
      <c r="F2655" s="30" t="n">
        <v>153</v>
      </c>
      <c r="G2655" s="35" t="n">
        <v>0.150294695481336</v>
      </c>
    </row>
    <row r="2656" customFormat="false" ht="15" hidden="false" customHeight="false" outlineLevel="0" collapsed="false">
      <c r="A2656" s="25" t="s">
        <v>3051</v>
      </c>
      <c r="B2656" s="25" t="s">
        <v>194</v>
      </c>
      <c r="C2656" s="29" t="s">
        <v>223</v>
      </c>
      <c r="D2656" s="29" t="n">
        <v>1</v>
      </c>
      <c r="E2656" s="31" t="n">
        <v>1018</v>
      </c>
      <c r="F2656" s="31" t="n">
        <v>153</v>
      </c>
      <c r="G2656" s="37" t="n">
        <v>0.150294695481336</v>
      </c>
    </row>
    <row r="2657" customFormat="false" ht="15" hidden="false" customHeight="false" outlineLevel="0" collapsed="false">
      <c r="A2657" s="20" t="s">
        <v>3052</v>
      </c>
      <c r="B2657" s="9" t="s">
        <v>253</v>
      </c>
      <c r="C2657" s="9" t="s">
        <v>428</v>
      </c>
      <c r="D2657" s="9" t="n">
        <v>1</v>
      </c>
      <c r="E2657" s="30" t="n">
        <v>1015</v>
      </c>
      <c r="F2657" s="30" t="n">
        <v>533</v>
      </c>
      <c r="G2657" s="35" t="n">
        <v>0.52512315270936</v>
      </c>
    </row>
    <row r="2658" customFormat="false" ht="15" hidden="false" customHeight="false" outlineLevel="0" collapsed="false">
      <c r="A2658" s="25" t="s">
        <v>3053</v>
      </c>
      <c r="B2658" s="25" t="s">
        <v>194</v>
      </c>
      <c r="C2658" s="29" t="s">
        <v>203</v>
      </c>
      <c r="D2658" s="29" t="n">
        <v>1</v>
      </c>
      <c r="E2658" s="31" t="n">
        <v>1000</v>
      </c>
      <c r="F2658" s="31" t="n">
        <v>150</v>
      </c>
      <c r="G2658" s="37" t="n">
        <v>0.15</v>
      </c>
    </row>
    <row r="2659" customFormat="false" ht="15" hidden="false" customHeight="false" outlineLevel="0" collapsed="false">
      <c r="A2659" s="20" t="s">
        <v>3054</v>
      </c>
      <c r="B2659" s="20" t="s">
        <v>200</v>
      </c>
      <c r="C2659" s="9" t="s">
        <v>2151</v>
      </c>
      <c r="D2659" s="9" t="n">
        <v>1</v>
      </c>
      <c r="E2659" s="30" t="n">
        <v>1000</v>
      </c>
      <c r="F2659" s="30" t="n">
        <v>150</v>
      </c>
      <c r="G2659" s="35" t="n">
        <v>0.15</v>
      </c>
    </row>
    <row r="2660" customFormat="false" ht="15" hidden="false" customHeight="false" outlineLevel="0" collapsed="false">
      <c r="A2660" s="25" t="s">
        <v>3055</v>
      </c>
      <c r="B2660" s="29" t="s">
        <v>253</v>
      </c>
      <c r="C2660" s="29" t="s">
        <v>428</v>
      </c>
      <c r="D2660" s="29" t="n">
        <v>1</v>
      </c>
      <c r="E2660" s="31" t="n">
        <v>991</v>
      </c>
      <c r="F2660" s="31" t="n">
        <v>758</v>
      </c>
      <c r="G2660" s="37" t="n">
        <v>0.764883955600404</v>
      </c>
    </row>
    <row r="2661" customFormat="false" ht="15" hidden="false" customHeight="false" outlineLevel="0" collapsed="false">
      <c r="A2661" s="20" t="s">
        <v>3056</v>
      </c>
      <c r="B2661" s="20" t="s">
        <v>194</v>
      </c>
      <c r="C2661" s="9" t="s">
        <v>223</v>
      </c>
      <c r="D2661" s="9" t="n">
        <v>1</v>
      </c>
      <c r="E2661" s="30" t="n">
        <v>991</v>
      </c>
      <c r="F2661" s="30" t="n">
        <v>149</v>
      </c>
      <c r="G2661" s="35" t="n">
        <v>0.150353178607467</v>
      </c>
    </row>
    <row r="2662" customFormat="false" ht="15" hidden="false" customHeight="false" outlineLevel="0" collapsed="false">
      <c r="A2662" s="25" t="s">
        <v>3057</v>
      </c>
      <c r="B2662" s="29" t="s">
        <v>253</v>
      </c>
      <c r="C2662" s="29" t="s">
        <v>428</v>
      </c>
      <c r="D2662" s="29" t="n">
        <v>1</v>
      </c>
      <c r="E2662" s="31" t="n">
        <v>982</v>
      </c>
      <c r="F2662" s="31" t="n">
        <v>-16</v>
      </c>
      <c r="G2662" s="37" t="n">
        <v>-0.0162932790224032</v>
      </c>
    </row>
    <row r="2663" customFormat="false" ht="15" hidden="false" customHeight="false" outlineLevel="0" collapsed="false">
      <c r="A2663" s="20" t="s">
        <v>3058</v>
      </c>
      <c r="B2663" s="9" t="s">
        <v>281</v>
      </c>
      <c r="C2663" s="9" t="s">
        <v>197</v>
      </c>
      <c r="D2663" s="9" t="n">
        <v>1</v>
      </c>
      <c r="E2663" s="30" t="n">
        <v>981</v>
      </c>
      <c r="F2663" s="30" t="n">
        <v>231</v>
      </c>
      <c r="G2663" s="35" t="n">
        <v>0.235474006116208</v>
      </c>
    </row>
    <row r="2664" customFormat="false" ht="15" hidden="false" customHeight="false" outlineLevel="0" collapsed="false">
      <c r="A2664" s="25" t="s">
        <v>3059</v>
      </c>
      <c r="B2664" s="25" t="s">
        <v>194</v>
      </c>
      <c r="C2664" s="29" t="s">
        <v>223</v>
      </c>
      <c r="D2664" s="29" t="n">
        <v>1</v>
      </c>
      <c r="E2664" s="31" t="n">
        <v>979</v>
      </c>
      <c r="F2664" s="31" t="n">
        <v>147</v>
      </c>
      <c r="G2664" s="37" t="n">
        <v>0.150153217568948</v>
      </c>
    </row>
    <row r="2665" customFormat="false" ht="15" hidden="false" customHeight="false" outlineLevel="0" collapsed="false">
      <c r="A2665" s="20" t="s">
        <v>3060</v>
      </c>
      <c r="B2665" s="20" t="s">
        <v>3061</v>
      </c>
      <c r="C2665" s="9" t="s">
        <v>203</v>
      </c>
      <c r="D2665" s="9" t="n">
        <v>4</v>
      </c>
      <c r="E2665" s="30" t="n">
        <v>976</v>
      </c>
      <c r="F2665" s="30" t="n">
        <v>147</v>
      </c>
      <c r="G2665" s="35" t="n">
        <v>0.150614754098361</v>
      </c>
    </row>
    <row r="2666" customFormat="false" ht="15" hidden="false" customHeight="false" outlineLevel="0" collapsed="false">
      <c r="A2666" s="25" t="s">
        <v>3062</v>
      </c>
      <c r="B2666" s="29" t="s">
        <v>962</v>
      </c>
      <c r="C2666" s="29" t="s">
        <v>203</v>
      </c>
      <c r="D2666" s="29" t="n">
        <v>1</v>
      </c>
      <c r="E2666" s="31" t="n">
        <v>968</v>
      </c>
      <c r="F2666" s="31" t="n">
        <v>145</v>
      </c>
      <c r="G2666" s="37" t="n">
        <v>0.149793388429752</v>
      </c>
    </row>
    <row r="2667" customFormat="false" ht="15" hidden="false" customHeight="false" outlineLevel="0" collapsed="false">
      <c r="A2667" s="20" t="s">
        <v>3063</v>
      </c>
      <c r="B2667" s="9" t="s">
        <v>2187</v>
      </c>
      <c r="C2667" s="9" t="s">
        <v>380</v>
      </c>
      <c r="D2667" s="9" t="n">
        <v>7</v>
      </c>
      <c r="E2667" s="30" t="n">
        <v>945</v>
      </c>
      <c r="F2667" s="30" t="n">
        <v>140</v>
      </c>
      <c r="G2667" s="35" t="n">
        <v>0.148148148148148</v>
      </c>
    </row>
    <row r="2668" customFormat="false" ht="15" hidden="false" customHeight="false" outlineLevel="0" collapsed="false">
      <c r="A2668" s="25" t="s">
        <v>3064</v>
      </c>
      <c r="B2668" s="25" t="s">
        <v>194</v>
      </c>
      <c r="C2668" s="29" t="s">
        <v>209</v>
      </c>
      <c r="D2668" s="29" t="n">
        <v>1</v>
      </c>
      <c r="E2668" s="31" t="n">
        <v>944</v>
      </c>
      <c r="F2668" s="31" t="n">
        <v>142</v>
      </c>
      <c r="G2668" s="37" t="n">
        <v>0.150423728813559</v>
      </c>
    </row>
    <row r="2669" customFormat="false" ht="15" hidden="false" customHeight="false" outlineLevel="0" collapsed="false">
      <c r="A2669" s="20" t="s">
        <v>3065</v>
      </c>
      <c r="B2669" s="9" t="s">
        <v>253</v>
      </c>
      <c r="C2669" s="9" t="s">
        <v>428</v>
      </c>
      <c r="D2669" s="9" t="n">
        <v>2</v>
      </c>
      <c r="E2669" s="30" t="n">
        <v>932</v>
      </c>
      <c r="F2669" s="30" t="n">
        <v>326</v>
      </c>
      <c r="G2669" s="35" t="n">
        <v>0.349785407725322</v>
      </c>
    </row>
    <row r="2670" customFormat="false" ht="15" hidden="false" customHeight="false" outlineLevel="0" collapsed="false">
      <c r="A2670" s="25" t="s">
        <v>3066</v>
      </c>
      <c r="B2670" s="29" t="s">
        <v>253</v>
      </c>
      <c r="C2670" s="29" t="s">
        <v>428</v>
      </c>
      <c r="D2670" s="29" t="n">
        <v>1</v>
      </c>
      <c r="E2670" s="31" t="n">
        <v>907</v>
      </c>
      <c r="F2670" s="31" t="n">
        <v>-181</v>
      </c>
      <c r="G2670" s="37" t="n">
        <v>-0.199558985667034</v>
      </c>
    </row>
    <row r="2671" customFormat="false" ht="15" hidden="false" customHeight="false" outlineLevel="0" collapsed="false">
      <c r="A2671" s="20" t="s">
        <v>3067</v>
      </c>
      <c r="B2671" s="20" t="s">
        <v>200</v>
      </c>
      <c r="C2671" s="9" t="s">
        <v>391</v>
      </c>
      <c r="D2671" s="9" t="n">
        <v>3</v>
      </c>
      <c r="E2671" s="30" t="n">
        <v>903</v>
      </c>
      <c r="F2671" s="30" t="n">
        <v>135</v>
      </c>
      <c r="G2671" s="35" t="n">
        <v>0.149501661129568</v>
      </c>
    </row>
    <row r="2672" customFormat="false" ht="15" hidden="false" customHeight="false" outlineLevel="0" collapsed="false">
      <c r="A2672" s="25" t="s">
        <v>3068</v>
      </c>
      <c r="B2672" s="25" t="s">
        <v>194</v>
      </c>
      <c r="C2672" s="29" t="s">
        <v>203</v>
      </c>
      <c r="D2672" s="29" t="n">
        <v>3</v>
      </c>
      <c r="E2672" s="31" t="n">
        <v>903</v>
      </c>
      <c r="F2672" s="31" t="n">
        <v>135</v>
      </c>
      <c r="G2672" s="37" t="n">
        <v>0.149501661129568</v>
      </c>
    </row>
    <row r="2673" customFormat="false" ht="15" hidden="false" customHeight="false" outlineLevel="0" collapsed="false">
      <c r="A2673" s="20" t="s">
        <v>3069</v>
      </c>
      <c r="B2673" s="20" t="s">
        <v>529</v>
      </c>
      <c r="C2673" s="9" t="s">
        <v>223</v>
      </c>
      <c r="D2673" s="9" t="n">
        <v>20</v>
      </c>
      <c r="E2673" s="30" t="n">
        <v>900</v>
      </c>
      <c r="F2673" s="30" t="n">
        <v>133</v>
      </c>
      <c r="G2673" s="35" t="n">
        <v>0.147777777777778</v>
      </c>
    </row>
    <row r="2674" customFormat="false" ht="15" hidden="false" customHeight="false" outlineLevel="0" collapsed="false">
      <c r="A2674" s="25" t="s">
        <v>3070</v>
      </c>
      <c r="B2674" s="29" t="s">
        <v>2988</v>
      </c>
      <c r="C2674" s="29" t="s">
        <v>439</v>
      </c>
      <c r="D2674" s="29" t="n">
        <v>3</v>
      </c>
      <c r="E2674" s="31" t="n">
        <v>891</v>
      </c>
      <c r="F2674" s="31" t="n">
        <v>134</v>
      </c>
      <c r="G2674" s="37" t="n">
        <v>0.150392817059484</v>
      </c>
    </row>
    <row r="2675" customFormat="false" ht="15" hidden="false" customHeight="false" outlineLevel="0" collapsed="false">
      <c r="A2675" s="20" t="s">
        <v>3071</v>
      </c>
      <c r="B2675" s="20" t="s">
        <v>2463</v>
      </c>
      <c r="C2675" s="9" t="s">
        <v>516</v>
      </c>
      <c r="D2675" s="9" t="n">
        <v>3</v>
      </c>
      <c r="E2675" s="30" t="n">
        <v>891</v>
      </c>
      <c r="F2675" s="30" t="n">
        <v>135</v>
      </c>
      <c r="G2675" s="35" t="n">
        <v>0.151515151515152</v>
      </c>
    </row>
    <row r="2676" customFormat="false" ht="15" hidden="false" customHeight="false" outlineLevel="0" collapsed="false">
      <c r="A2676" s="25" t="s">
        <v>3072</v>
      </c>
      <c r="B2676" s="25" t="s">
        <v>200</v>
      </c>
      <c r="C2676" s="29" t="s">
        <v>223</v>
      </c>
      <c r="D2676" s="29" t="n">
        <v>1</v>
      </c>
      <c r="E2676" s="31" t="n">
        <v>886</v>
      </c>
      <c r="F2676" s="31" t="n">
        <v>133</v>
      </c>
      <c r="G2676" s="37" t="n">
        <v>0.150112866817156</v>
      </c>
    </row>
    <row r="2677" customFormat="false" ht="15" hidden="false" customHeight="false" outlineLevel="0" collapsed="false">
      <c r="A2677" s="20" t="s">
        <v>3073</v>
      </c>
      <c r="B2677" s="20" t="s">
        <v>194</v>
      </c>
      <c r="C2677" s="9" t="s">
        <v>209</v>
      </c>
      <c r="D2677" s="9" t="n">
        <v>2</v>
      </c>
      <c r="E2677" s="30" t="n">
        <v>880</v>
      </c>
      <c r="F2677" s="30" t="n">
        <v>132</v>
      </c>
      <c r="G2677" s="35" t="n">
        <v>0.15</v>
      </c>
    </row>
    <row r="2678" customFormat="false" ht="15" hidden="false" customHeight="false" outlineLevel="0" collapsed="false">
      <c r="A2678" s="25" t="s">
        <v>3074</v>
      </c>
      <c r="B2678" s="25" t="s">
        <v>200</v>
      </c>
      <c r="C2678" s="29" t="s">
        <v>223</v>
      </c>
      <c r="D2678" s="29" t="n">
        <v>1</v>
      </c>
      <c r="E2678" s="31" t="n">
        <v>879</v>
      </c>
      <c r="F2678" s="31" t="n">
        <v>132</v>
      </c>
      <c r="G2678" s="37" t="n">
        <v>0.150170648464164</v>
      </c>
    </row>
    <row r="2679" customFormat="false" ht="15" hidden="false" customHeight="false" outlineLevel="0" collapsed="false">
      <c r="A2679" s="20" t="s">
        <v>3075</v>
      </c>
      <c r="B2679" s="20" t="s">
        <v>194</v>
      </c>
      <c r="C2679" s="9" t="s">
        <v>203</v>
      </c>
      <c r="D2679" s="9" t="n">
        <v>1</v>
      </c>
      <c r="E2679" s="30" t="n">
        <v>868</v>
      </c>
      <c r="F2679" s="30" t="n">
        <v>130</v>
      </c>
      <c r="G2679" s="35" t="n">
        <v>0.149769585253456</v>
      </c>
    </row>
    <row r="2680" customFormat="false" ht="15" hidden="false" customHeight="false" outlineLevel="0" collapsed="false">
      <c r="A2680" s="25" t="s">
        <v>3076</v>
      </c>
      <c r="B2680" s="29" t="s">
        <v>253</v>
      </c>
      <c r="C2680" s="29" t="s">
        <v>229</v>
      </c>
      <c r="D2680" s="29" t="n">
        <v>2</v>
      </c>
      <c r="E2680" s="31" t="n">
        <v>864</v>
      </c>
      <c r="F2680" s="31" t="n">
        <v>692</v>
      </c>
      <c r="G2680" s="37" t="n">
        <v>0.800925925925926</v>
      </c>
    </row>
    <row r="2681" customFormat="false" ht="15" hidden="false" customHeight="false" outlineLevel="0" collapsed="false">
      <c r="A2681" s="20" t="s">
        <v>3077</v>
      </c>
      <c r="B2681" s="20" t="s">
        <v>200</v>
      </c>
      <c r="C2681" s="9" t="s">
        <v>439</v>
      </c>
      <c r="D2681" s="9" t="n">
        <v>1</v>
      </c>
      <c r="E2681" s="30" t="n">
        <v>861</v>
      </c>
      <c r="F2681" s="30" t="n">
        <v>129</v>
      </c>
      <c r="G2681" s="35" t="n">
        <v>0.149825783972125</v>
      </c>
    </row>
    <row r="2682" customFormat="false" ht="15" hidden="false" customHeight="false" outlineLevel="0" collapsed="false">
      <c r="A2682" s="25" t="s">
        <v>3078</v>
      </c>
      <c r="B2682" s="29" t="s">
        <v>253</v>
      </c>
      <c r="C2682" s="29" t="s">
        <v>223</v>
      </c>
      <c r="D2682" s="29" t="n">
        <v>1</v>
      </c>
      <c r="E2682" s="31" t="n">
        <v>858</v>
      </c>
      <c r="F2682" s="31" t="n">
        <v>129</v>
      </c>
      <c r="G2682" s="37" t="n">
        <v>0.15034965034965</v>
      </c>
    </row>
    <row r="2683" customFormat="false" ht="15" hidden="false" customHeight="false" outlineLevel="0" collapsed="false">
      <c r="A2683" s="20" t="s">
        <v>3079</v>
      </c>
      <c r="B2683" s="20" t="s">
        <v>3080</v>
      </c>
      <c r="C2683" s="9" t="s">
        <v>203</v>
      </c>
      <c r="D2683" s="9" t="n">
        <v>10</v>
      </c>
      <c r="E2683" s="30" t="n">
        <v>850</v>
      </c>
      <c r="F2683" s="30" t="n">
        <v>130</v>
      </c>
      <c r="G2683" s="35" t="n">
        <v>0.152941176470588</v>
      </c>
    </row>
    <row r="2684" customFormat="false" ht="15" hidden="false" customHeight="false" outlineLevel="0" collapsed="false">
      <c r="A2684" s="25" t="s">
        <v>3081</v>
      </c>
      <c r="B2684" s="25" t="s">
        <v>3082</v>
      </c>
      <c r="C2684" s="29" t="s">
        <v>2009</v>
      </c>
      <c r="D2684" s="29" t="n">
        <v>2</v>
      </c>
      <c r="E2684" s="31" t="n">
        <v>850</v>
      </c>
      <c r="F2684" s="31" t="n">
        <v>127</v>
      </c>
      <c r="G2684" s="37" t="n">
        <v>0.149411764705882</v>
      </c>
    </row>
    <row r="2685" customFormat="false" ht="15" hidden="false" customHeight="false" outlineLevel="0" collapsed="false">
      <c r="A2685" s="20" t="s">
        <v>3083</v>
      </c>
      <c r="B2685" s="20" t="s">
        <v>194</v>
      </c>
      <c r="C2685" s="9" t="s">
        <v>223</v>
      </c>
      <c r="D2685" s="9" t="n">
        <v>1</v>
      </c>
      <c r="E2685" s="30" t="n">
        <v>832</v>
      </c>
      <c r="F2685" s="30" t="n">
        <v>125</v>
      </c>
      <c r="G2685" s="35" t="n">
        <v>0.150240384615385</v>
      </c>
    </row>
    <row r="2686" customFormat="false" ht="15" hidden="false" customHeight="false" outlineLevel="0" collapsed="false">
      <c r="A2686" s="25" t="s">
        <v>3084</v>
      </c>
      <c r="B2686" s="25" t="s">
        <v>200</v>
      </c>
      <c r="C2686" s="29" t="s">
        <v>391</v>
      </c>
      <c r="D2686" s="29" t="n">
        <v>1</v>
      </c>
      <c r="E2686" s="31" t="n">
        <v>827</v>
      </c>
      <c r="F2686" s="31" t="n">
        <v>124</v>
      </c>
      <c r="G2686" s="37" t="n">
        <v>0.14993954050786</v>
      </c>
    </row>
    <row r="2687" customFormat="false" ht="15" hidden="false" customHeight="false" outlineLevel="0" collapsed="false">
      <c r="A2687" s="20" t="s">
        <v>3085</v>
      </c>
      <c r="B2687" s="20" t="s">
        <v>2832</v>
      </c>
      <c r="C2687" s="9" t="s">
        <v>203</v>
      </c>
      <c r="D2687" s="9" t="n">
        <v>9</v>
      </c>
      <c r="E2687" s="30" t="n">
        <v>819</v>
      </c>
      <c r="F2687" s="30" t="n">
        <v>125</v>
      </c>
      <c r="G2687" s="35" t="n">
        <v>0.152625152625153</v>
      </c>
    </row>
    <row r="2688" customFormat="false" ht="15" hidden="false" customHeight="false" outlineLevel="0" collapsed="false">
      <c r="A2688" s="25" t="s">
        <v>3086</v>
      </c>
      <c r="B2688" s="25" t="s">
        <v>2832</v>
      </c>
      <c r="C2688" s="29" t="s">
        <v>203</v>
      </c>
      <c r="D2688" s="29" t="n">
        <v>9</v>
      </c>
      <c r="E2688" s="31" t="n">
        <v>810</v>
      </c>
      <c r="F2688" s="31" t="n">
        <v>118</v>
      </c>
      <c r="G2688" s="37" t="n">
        <v>0.145679012345679</v>
      </c>
    </row>
    <row r="2689" customFormat="false" ht="15" hidden="false" customHeight="false" outlineLevel="0" collapsed="false">
      <c r="A2689" s="20" t="s">
        <v>3087</v>
      </c>
      <c r="B2689" s="20" t="s">
        <v>200</v>
      </c>
      <c r="C2689" s="9" t="s">
        <v>428</v>
      </c>
      <c r="D2689" s="9" t="n">
        <v>1</v>
      </c>
      <c r="E2689" s="30" t="n">
        <v>807</v>
      </c>
      <c r="F2689" s="30" t="n">
        <v>120</v>
      </c>
      <c r="G2689" s="35" t="n">
        <v>0.148698884758364</v>
      </c>
    </row>
    <row r="2690" customFormat="false" ht="15" hidden="false" customHeight="false" outlineLevel="0" collapsed="false">
      <c r="A2690" s="25" t="s">
        <v>3088</v>
      </c>
      <c r="B2690" s="25" t="s">
        <v>308</v>
      </c>
      <c r="C2690" s="29" t="s">
        <v>258</v>
      </c>
      <c r="D2690" s="29" t="n">
        <v>5</v>
      </c>
      <c r="E2690" s="31" t="n">
        <v>805</v>
      </c>
      <c r="F2690" s="31" t="n">
        <v>120</v>
      </c>
      <c r="G2690" s="37" t="n">
        <v>0.149068322981366</v>
      </c>
    </row>
    <row r="2691" customFormat="false" ht="15" hidden="false" customHeight="false" outlineLevel="0" collapsed="false">
      <c r="A2691" s="20" t="s">
        <v>3089</v>
      </c>
      <c r="B2691" s="20" t="s">
        <v>194</v>
      </c>
      <c r="C2691" s="9" t="s">
        <v>217</v>
      </c>
      <c r="D2691" s="9" t="n">
        <v>1</v>
      </c>
      <c r="E2691" s="30" t="n">
        <v>804</v>
      </c>
      <c r="F2691" s="30" t="n">
        <v>404</v>
      </c>
      <c r="G2691" s="35" t="n">
        <v>0.502487562189055</v>
      </c>
    </row>
    <row r="2692" customFormat="false" ht="15" hidden="false" customHeight="false" outlineLevel="0" collapsed="false">
      <c r="A2692" s="25" t="s">
        <v>3090</v>
      </c>
      <c r="B2692" s="25" t="s">
        <v>1978</v>
      </c>
      <c r="C2692" s="29" t="s">
        <v>203</v>
      </c>
      <c r="D2692" s="29" t="n">
        <v>4</v>
      </c>
      <c r="E2692" s="31" t="n">
        <v>800</v>
      </c>
      <c r="F2692" s="31" t="n">
        <v>120</v>
      </c>
      <c r="G2692" s="37" t="n">
        <v>0.15</v>
      </c>
    </row>
    <row r="2693" customFormat="false" ht="15" hidden="false" customHeight="false" outlineLevel="0" collapsed="false">
      <c r="A2693" s="20" t="s">
        <v>3091</v>
      </c>
      <c r="B2693" s="20" t="s">
        <v>1937</v>
      </c>
      <c r="C2693" s="9" t="s">
        <v>203</v>
      </c>
      <c r="D2693" s="9" t="n">
        <v>10</v>
      </c>
      <c r="E2693" s="30" t="n">
        <v>800</v>
      </c>
      <c r="F2693" s="30" t="n">
        <v>120</v>
      </c>
      <c r="G2693" s="35" t="n">
        <v>0.15</v>
      </c>
    </row>
    <row r="2694" customFormat="false" ht="15" hidden="false" customHeight="false" outlineLevel="0" collapsed="false">
      <c r="A2694" s="25" t="s">
        <v>3092</v>
      </c>
      <c r="B2694" s="29" t="s">
        <v>1734</v>
      </c>
      <c r="C2694" s="29" t="s">
        <v>229</v>
      </c>
      <c r="D2694" s="29" t="n">
        <v>2</v>
      </c>
      <c r="E2694" s="31" t="n">
        <v>796</v>
      </c>
      <c r="F2694" s="31" t="n">
        <v>119</v>
      </c>
      <c r="G2694" s="37" t="n">
        <v>0.149497487437186</v>
      </c>
    </row>
    <row r="2695" customFormat="false" ht="15" hidden="false" customHeight="false" outlineLevel="0" collapsed="false">
      <c r="A2695" s="20" t="s">
        <v>3093</v>
      </c>
      <c r="B2695" s="20" t="s">
        <v>1854</v>
      </c>
      <c r="C2695" s="9" t="s">
        <v>203</v>
      </c>
      <c r="D2695" s="9" t="n">
        <v>12</v>
      </c>
      <c r="E2695" s="30" t="n">
        <v>792</v>
      </c>
      <c r="F2695" s="30" t="n">
        <v>119</v>
      </c>
      <c r="G2695" s="35" t="n">
        <v>0.150252525252525</v>
      </c>
    </row>
    <row r="2696" customFormat="false" ht="15" hidden="false" customHeight="false" outlineLevel="0" collapsed="false">
      <c r="A2696" s="25" t="s">
        <v>3094</v>
      </c>
      <c r="B2696" s="25" t="s">
        <v>194</v>
      </c>
      <c r="C2696" s="29" t="s">
        <v>223</v>
      </c>
      <c r="D2696" s="29" t="n">
        <v>1</v>
      </c>
      <c r="E2696" s="31" t="n">
        <v>786</v>
      </c>
      <c r="F2696" s="31" t="n">
        <v>158</v>
      </c>
      <c r="G2696" s="37" t="n">
        <v>0.201017811704835</v>
      </c>
    </row>
    <row r="2697" customFormat="false" ht="15" hidden="false" customHeight="false" outlineLevel="0" collapsed="false">
      <c r="A2697" s="20" t="s">
        <v>3095</v>
      </c>
      <c r="B2697" s="20" t="s">
        <v>194</v>
      </c>
      <c r="C2697" s="9" t="s">
        <v>203</v>
      </c>
      <c r="D2697" s="9" t="n">
        <v>1</v>
      </c>
      <c r="E2697" s="30" t="n">
        <v>783</v>
      </c>
      <c r="F2697" s="30" t="n">
        <v>117</v>
      </c>
      <c r="G2697" s="35" t="n">
        <v>0.149425287356322</v>
      </c>
    </row>
    <row r="2698" customFormat="false" ht="15" hidden="false" customHeight="false" outlineLevel="0" collapsed="false">
      <c r="A2698" s="25" t="s">
        <v>3096</v>
      </c>
      <c r="B2698" s="25" t="s">
        <v>194</v>
      </c>
      <c r="C2698" s="29" t="s">
        <v>203</v>
      </c>
      <c r="D2698" s="29" t="n">
        <v>1</v>
      </c>
      <c r="E2698" s="31" t="n">
        <v>780</v>
      </c>
      <c r="F2698" s="31" t="n">
        <v>580</v>
      </c>
      <c r="G2698" s="37" t="n">
        <v>0.743589743589744</v>
      </c>
    </row>
    <row r="2699" customFormat="false" ht="15" hidden="false" customHeight="false" outlineLevel="0" collapsed="false">
      <c r="A2699" s="20" t="s">
        <v>3097</v>
      </c>
      <c r="B2699" s="20" t="s">
        <v>2476</v>
      </c>
      <c r="C2699" s="9" t="s">
        <v>316</v>
      </c>
      <c r="D2699" s="9" t="n">
        <v>8</v>
      </c>
      <c r="E2699" s="30" t="n">
        <v>752</v>
      </c>
      <c r="F2699" s="30" t="n">
        <v>113</v>
      </c>
      <c r="G2699" s="35" t="n">
        <v>0.150265957446809</v>
      </c>
    </row>
    <row r="2700" customFormat="false" ht="15" hidden="false" customHeight="false" outlineLevel="0" collapsed="false">
      <c r="A2700" s="25" t="s">
        <v>3098</v>
      </c>
      <c r="B2700" s="25" t="s">
        <v>2832</v>
      </c>
      <c r="C2700" s="29" t="s">
        <v>439</v>
      </c>
      <c r="D2700" s="29" t="n">
        <v>5</v>
      </c>
      <c r="E2700" s="31" t="n">
        <v>745</v>
      </c>
      <c r="F2700" s="31" t="n">
        <v>111</v>
      </c>
      <c r="G2700" s="37" t="n">
        <v>0.148993288590604</v>
      </c>
    </row>
    <row r="2701" customFormat="false" ht="15" hidden="false" customHeight="false" outlineLevel="0" collapsed="false">
      <c r="A2701" s="20" t="s">
        <v>3099</v>
      </c>
      <c r="B2701" s="20" t="s">
        <v>194</v>
      </c>
      <c r="C2701" s="9" t="s">
        <v>203</v>
      </c>
      <c r="D2701" s="9" t="n">
        <v>1</v>
      </c>
      <c r="E2701" s="30" t="n">
        <v>738</v>
      </c>
      <c r="F2701" s="30" t="n">
        <v>111</v>
      </c>
      <c r="G2701" s="35" t="n">
        <v>0.150406504065041</v>
      </c>
    </row>
    <row r="2702" customFormat="false" ht="15" hidden="false" customHeight="false" outlineLevel="0" collapsed="false">
      <c r="A2702" s="25" t="s">
        <v>3100</v>
      </c>
      <c r="B2702" s="25" t="s">
        <v>194</v>
      </c>
      <c r="C2702" s="29" t="s">
        <v>203</v>
      </c>
      <c r="D2702" s="29" t="n">
        <v>1</v>
      </c>
      <c r="E2702" s="31" t="n">
        <v>737</v>
      </c>
      <c r="F2702" s="31" t="n">
        <v>553</v>
      </c>
      <c r="G2702" s="37" t="n">
        <v>0.75033921302578</v>
      </c>
    </row>
    <row r="2703" customFormat="false" ht="15" hidden="false" customHeight="false" outlineLevel="0" collapsed="false">
      <c r="A2703" s="20" t="s">
        <v>3101</v>
      </c>
      <c r="B2703" s="20" t="s">
        <v>194</v>
      </c>
      <c r="C2703" s="9" t="s">
        <v>223</v>
      </c>
      <c r="D2703" s="9" t="n">
        <v>2</v>
      </c>
      <c r="E2703" s="30" t="n">
        <v>732</v>
      </c>
      <c r="F2703" s="30" t="n">
        <v>472</v>
      </c>
      <c r="G2703" s="35" t="n">
        <v>0.644808743169399</v>
      </c>
    </row>
    <row r="2704" customFormat="false" ht="15" hidden="false" customHeight="false" outlineLevel="0" collapsed="false">
      <c r="A2704" s="25" t="s">
        <v>3102</v>
      </c>
      <c r="B2704" s="29" t="s">
        <v>3103</v>
      </c>
      <c r="C2704" s="29" t="s">
        <v>229</v>
      </c>
      <c r="D2704" s="29" t="n">
        <v>10</v>
      </c>
      <c r="E2704" s="31" t="n">
        <v>730</v>
      </c>
      <c r="F2704" s="31" t="n">
        <v>109</v>
      </c>
      <c r="G2704" s="37" t="n">
        <v>0.149315068493151</v>
      </c>
    </row>
    <row r="2705" customFormat="false" ht="15" hidden="false" customHeight="false" outlineLevel="0" collapsed="false">
      <c r="A2705" s="20" t="s">
        <v>3104</v>
      </c>
      <c r="B2705" s="20" t="s">
        <v>194</v>
      </c>
      <c r="C2705" s="9" t="s">
        <v>223</v>
      </c>
      <c r="D2705" s="9" t="n">
        <v>1</v>
      </c>
      <c r="E2705" s="30" t="n">
        <v>709</v>
      </c>
      <c r="F2705" s="30" t="n">
        <v>155</v>
      </c>
      <c r="G2705" s="35" t="n">
        <v>0.218617771509168</v>
      </c>
    </row>
    <row r="2706" customFormat="false" ht="15" hidden="false" customHeight="false" outlineLevel="0" collapsed="false">
      <c r="A2706" s="25" t="s">
        <v>3105</v>
      </c>
      <c r="B2706" s="29" t="s">
        <v>253</v>
      </c>
      <c r="C2706" s="29" t="s">
        <v>223</v>
      </c>
      <c r="D2706" s="29" t="n">
        <v>2</v>
      </c>
      <c r="E2706" s="31" t="n">
        <v>696</v>
      </c>
      <c r="F2706" s="31" t="n">
        <v>104</v>
      </c>
      <c r="G2706" s="37" t="n">
        <v>0.149425287356322</v>
      </c>
    </row>
    <row r="2707" customFormat="false" ht="15" hidden="false" customHeight="false" outlineLevel="0" collapsed="false">
      <c r="A2707" s="20" t="s">
        <v>3106</v>
      </c>
      <c r="B2707" s="20" t="s">
        <v>200</v>
      </c>
      <c r="C2707" s="9" t="s">
        <v>229</v>
      </c>
      <c r="D2707" s="9" t="n">
        <v>1</v>
      </c>
      <c r="E2707" s="30" t="n">
        <v>696</v>
      </c>
      <c r="F2707" s="30" t="n">
        <v>107</v>
      </c>
      <c r="G2707" s="35" t="n">
        <v>0.153735632183908</v>
      </c>
    </row>
    <row r="2708" customFormat="false" ht="15" hidden="false" customHeight="false" outlineLevel="0" collapsed="false">
      <c r="A2708" s="25" t="s">
        <v>3107</v>
      </c>
      <c r="B2708" s="29" t="s">
        <v>253</v>
      </c>
      <c r="C2708" s="29" t="s">
        <v>223</v>
      </c>
      <c r="D2708" s="29" t="n">
        <v>6</v>
      </c>
      <c r="E2708" s="31" t="n">
        <v>696</v>
      </c>
      <c r="F2708" s="31" t="n">
        <v>576</v>
      </c>
      <c r="G2708" s="37" t="n">
        <v>0.827586206896552</v>
      </c>
    </row>
    <row r="2709" customFormat="false" ht="15" hidden="false" customHeight="false" outlineLevel="0" collapsed="false">
      <c r="A2709" s="20" t="s">
        <v>3108</v>
      </c>
      <c r="B2709" s="20" t="s">
        <v>194</v>
      </c>
      <c r="C2709" s="9" t="s">
        <v>380</v>
      </c>
      <c r="D2709" s="9" t="n">
        <v>1</v>
      </c>
      <c r="E2709" s="30" t="n">
        <v>695</v>
      </c>
      <c r="F2709" s="30" t="n">
        <v>104</v>
      </c>
      <c r="G2709" s="35" t="n">
        <v>0.149640287769784</v>
      </c>
    </row>
    <row r="2710" customFormat="false" ht="15" hidden="false" customHeight="false" outlineLevel="0" collapsed="false">
      <c r="A2710" s="25" t="s">
        <v>3109</v>
      </c>
      <c r="B2710" s="25" t="s">
        <v>194</v>
      </c>
      <c r="C2710" s="29" t="s">
        <v>203</v>
      </c>
      <c r="D2710" s="29" t="n">
        <v>1</v>
      </c>
      <c r="E2710" s="31" t="n">
        <v>689</v>
      </c>
      <c r="F2710" s="31" t="n">
        <v>539</v>
      </c>
      <c r="G2710" s="37" t="n">
        <v>0.782293178519594</v>
      </c>
    </row>
    <row r="2711" customFormat="false" ht="15" hidden="false" customHeight="false" outlineLevel="0" collapsed="false">
      <c r="A2711" s="20" t="s">
        <v>3110</v>
      </c>
      <c r="B2711" s="9" t="s">
        <v>2777</v>
      </c>
      <c r="C2711" s="9" t="s">
        <v>428</v>
      </c>
      <c r="D2711" s="9" t="n">
        <v>15</v>
      </c>
      <c r="E2711" s="30" t="n">
        <v>660</v>
      </c>
      <c r="F2711" s="30" t="n">
        <v>99</v>
      </c>
      <c r="G2711" s="35" t="n">
        <v>0.15</v>
      </c>
    </row>
    <row r="2712" customFormat="false" ht="15" hidden="false" customHeight="false" outlineLevel="0" collapsed="false">
      <c r="A2712" s="25" t="s">
        <v>3111</v>
      </c>
      <c r="B2712" s="25" t="s">
        <v>194</v>
      </c>
      <c r="C2712" s="29" t="s">
        <v>203</v>
      </c>
      <c r="D2712" s="29" t="n">
        <v>1</v>
      </c>
      <c r="E2712" s="31" t="n">
        <v>656</v>
      </c>
      <c r="F2712" s="31" t="n">
        <v>98</v>
      </c>
      <c r="G2712" s="37" t="n">
        <v>0.149390243902439</v>
      </c>
    </row>
    <row r="2713" customFormat="false" ht="15" hidden="false" customHeight="false" outlineLevel="0" collapsed="false">
      <c r="A2713" s="20" t="s">
        <v>3112</v>
      </c>
      <c r="B2713" s="20" t="s">
        <v>3061</v>
      </c>
      <c r="C2713" s="9" t="s">
        <v>203</v>
      </c>
      <c r="D2713" s="9" t="n">
        <v>3</v>
      </c>
      <c r="E2713" s="30" t="n">
        <v>654</v>
      </c>
      <c r="F2713" s="30" t="n">
        <v>99</v>
      </c>
      <c r="G2713" s="35" t="n">
        <v>0.151376146788991</v>
      </c>
    </row>
    <row r="2714" customFormat="false" ht="15" hidden="false" customHeight="false" outlineLevel="0" collapsed="false">
      <c r="A2714" s="25" t="s">
        <v>3113</v>
      </c>
      <c r="B2714" s="25" t="s">
        <v>194</v>
      </c>
      <c r="C2714" s="29" t="s">
        <v>203</v>
      </c>
      <c r="D2714" s="29" t="n">
        <v>1</v>
      </c>
      <c r="E2714" s="31" t="n">
        <v>652</v>
      </c>
      <c r="F2714" s="31" t="n">
        <v>501</v>
      </c>
      <c r="G2714" s="37" t="n">
        <v>0.76840490797546</v>
      </c>
    </row>
    <row r="2715" customFormat="false" ht="15" hidden="false" customHeight="false" outlineLevel="0" collapsed="false">
      <c r="A2715" s="20" t="s">
        <v>3114</v>
      </c>
      <c r="B2715" s="20" t="s">
        <v>200</v>
      </c>
      <c r="C2715" s="9" t="s">
        <v>368</v>
      </c>
      <c r="D2715" s="9" t="n">
        <v>2</v>
      </c>
      <c r="E2715" s="30" t="n">
        <v>652</v>
      </c>
      <c r="F2715" s="30" t="n">
        <v>98</v>
      </c>
      <c r="G2715" s="35" t="n">
        <v>0.150306748466258</v>
      </c>
    </row>
    <row r="2716" customFormat="false" ht="15" hidden="false" customHeight="false" outlineLevel="0" collapsed="false">
      <c r="A2716" s="25" t="s">
        <v>3115</v>
      </c>
      <c r="B2716" s="25" t="s">
        <v>774</v>
      </c>
      <c r="C2716" s="29" t="s">
        <v>439</v>
      </c>
      <c r="D2716" s="29" t="n">
        <v>2</v>
      </c>
      <c r="E2716" s="31" t="n">
        <v>648</v>
      </c>
      <c r="F2716" s="31" t="n">
        <v>98</v>
      </c>
      <c r="G2716" s="37" t="n">
        <v>0.151234567901235</v>
      </c>
    </row>
    <row r="2717" customFormat="false" ht="15" hidden="false" customHeight="false" outlineLevel="0" collapsed="false">
      <c r="A2717" s="20" t="s">
        <v>3116</v>
      </c>
      <c r="B2717" s="20" t="s">
        <v>200</v>
      </c>
      <c r="C2717" s="9" t="s">
        <v>223</v>
      </c>
      <c r="D2717" s="9" t="n">
        <v>2</v>
      </c>
      <c r="E2717" s="30" t="n">
        <v>602</v>
      </c>
      <c r="F2717" s="30" t="n">
        <v>182</v>
      </c>
      <c r="G2717" s="35" t="n">
        <v>0.302325581395349</v>
      </c>
    </row>
    <row r="2718" customFormat="false" ht="15" hidden="false" customHeight="false" outlineLevel="0" collapsed="false">
      <c r="A2718" s="25" t="s">
        <v>3117</v>
      </c>
      <c r="B2718" s="29" t="s">
        <v>688</v>
      </c>
      <c r="C2718" s="29" t="s">
        <v>380</v>
      </c>
      <c r="D2718" s="29" t="n">
        <v>7</v>
      </c>
      <c r="E2718" s="31" t="n">
        <v>595</v>
      </c>
      <c r="F2718" s="31" t="n">
        <v>88</v>
      </c>
      <c r="G2718" s="37" t="n">
        <v>0.147899159663866</v>
      </c>
    </row>
    <row r="2719" customFormat="false" ht="15" hidden="false" customHeight="false" outlineLevel="0" collapsed="false">
      <c r="A2719" s="20" t="s">
        <v>3118</v>
      </c>
      <c r="B2719" s="20" t="s">
        <v>194</v>
      </c>
      <c r="C2719" s="9" t="s">
        <v>203</v>
      </c>
      <c r="D2719" s="9" t="n">
        <v>1</v>
      </c>
      <c r="E2719" s="30" t="n">
        <v>595</v>
      </c>
      <c r="F2719" s="30" t="n">
        <v>256</v>
      </c>
      <c r="G2719" s="35" t="n">
        <v>0.430252100840336</v>
      </c>
    </row>
    <row r="2720" customFormat="false" ht="15" hidden="false" customHeight="false" outlineLevel="0" collapsed="false">
      <c r="A2720" s="25" t="s">
        <v>3119</v>
      </c>
      <c r="B2720" s="25" t="s">
        <v>194</v>
      </c>
      <c r="C2720" s="29" t="s">
        <v>203</v>
      </c>
      <c r="D2720" s="29" t="n">
        <v>4</v>
      </c>
      <c r="E2720" s="31" t="n">
        <v>588</v>
      </c>
      <c r="F2720" s="31" t="n">
        <v>88</v>
      </c>
      <c r="G2720" s="37" t="n">
        <v>0.149659863945578</v>
      </c>
    </row>
    <row r="2721" customFormat="false" ht="15" hidden="false" customHeight="false" outlineLevel="0" collapsed="false">
      <c r="A2721" s="20" t="s">
        <v>3120</v>
      </c>
      <c r="B2721" s="20" t="s">
        <v>194</v>
      </c>
      <c r="C2721" s="9" t="s">
        <v>206</v>
      </c>
      <c r="D2721" s="9" t="n">
        <v>1</v>
      </c>
      <c r="E2721" s="30" t="n">
        <v>580</v>
      </c>
      <c r="F2721" s="30" t="n">
        <v>87</v>
      </c>
      <c r="G2721" s="35" t="n">
        <v>0.15</v>
      </c>
    </row>
    <row r="2722" customFormat="false" ht="15" hidden="false" customHeight="false" outlineLevel="0" collapsed="false">
      <c r="A2722" s="25" t="s">
        <v>3121</v>
      </c>
      <c r="B2722" s="29" t="s">
        <v>253</v>
      </c>
      <c r="C2722" s="29" t="s">
        <v>428</v>
      </c>
      <c r="D2722" s="29" t="n">
        <v>1</v>
      </c>
      <c r="E2722" s="31" t="n">
        <v>579</v>
      </c>
      <c r="F2722" s="31" t="n">
        <v>249</v>
      </c>
      <c r="G2722" s="37" t="n">
        <v>0.430051813471503</v>
      </c>
    </row>
    <row r="2723" customFormat="false" ht="15" hidden="false" customHeight="false" outlineLevel="0" collapsed="false">
      <c r="A2723" s="20" t="s">
        <v>3122</v>
      </c>
      <c r="B2723" s="20" t="s">
        <v>194</v>
      </c>
      <c r="C2723" s="9" t="s">
        <v>334</v>
      </c>
      <c r="D2723" s="9" t="n">
        <v>3</v>
      </c>
      <c r="E2723" s="30" t="n">
        <v>573</v>
      </c>
      <c r="F2723" s="30" t="n">
        <v>86</v>
      </c>
      <c r="G2723" s="35" t="n">
        <v>0.150087260034904</v>
      </c>
    </row>
    <row r="2724" customFormat="false" ht="15" hidden="false" customHeight="false" outlineLevel="0" collapsed="false">
      <c r="A2724" s="25" t="s">
        <v>3123</v>
      </c>
      <c r="B2724" s="29" t="s">
        <v>253</v>
      </c>
      <c r="C2724" s="29" t="s">
        <v>355</v>
      </c>
      <c r="D2724" s="29" t="n">
        <v>1</v>
      </c>
      <c r="E2724" s="31" t="n">
        <v>553</v>
      </c>
      <c r="F2724" s="31" t="n">
        <v>83</v>
      </c>
      <c r="G2724" s="37" t="n">
        <v>0.150090415913201</v>
      </c>
    </row>
    <row r="2725" customFormat="false" ht="15" hidden="false" customHeight="false" outlineLevel="0" collapsed="false">
      <c r="A2725" s="20" t="s">
        <v>3124</v>
      </c>
      <c r="B2725" s="20" t="s">
        <v>3125</v>
      </c>
      <c r="C2725" s="9" t="s">
        <v>634</v>
      </c>
      <c r="D2725" s="9" t="n">
        <v>5</v>
      </c>
      <c r="E2725" s="30" t="n">
        <v>550</v>
      </c>
      <c r="F2725" s="30" t="n">
        <v>82</v>
      </c>
      <c r="G2725" s="35" t="n">
        <v>0.149090909090909</v>
      </c>
    </row>
    <row r="2726" customFormat="false" ht="15" hidden="false" customHeight="false" outlineLevel="0" collapsed="false">
      <c r="A2726" s="25" t="s">
        <v>3126</v>
      </c>
      <c r="B2726" s="25" t="s">
        <v>2832</v>
      </c>
      <c r="C2726" s="29" t="s">
        <v>439</v>
      </c>
      <c r="D2726" s="29" t="n">
        <v>4</v>
      </c>
      <c r="E2726" s="31" t="n">
        <v>524</v>
      </c>
      <c r="F2726" s="31" t="n">
        <v>79</v>
      </c>
      <c r="G2726" s="37" t="n">
        <v>0.150763358778626</v>
      </c>
    </row>
    <row r="2727" customFormat="false" ht="15" hidden="false" customHeight="false" outlineLevel="0" collapsed="false">
      <c r="A2727" s="20" t="s">
        <v>3127</v>
      </c>
      <c r="B2727" s="20" t="s">
        <v>200</v>
      </c>
      <c r="C2727" s="9" t="s">
        <v>428</v>
      </c>
      <c r="D2727" s="9" t="n">
        <v>1</v>
      </c>
      <c r="E2727" s="30" t="n">
        <v>514</v>
      </c>
      <c r="F2727" s="30" t="n">
        <v>140</v>
      </c>
      <c r="G2727" s="35" t="n">
        <v>0.272373540856031</v>
      </c>
    </row>
    <row r="2728" customFormat="false" ht="15" hidden="false" customHeight="false" outlineLevel="0" collapsed="false">
      <c r="A2728" s="25" t="s">
        <v>3128</v>
      </c>
      <c r="B2728" s="25" t="s">
        <v>194</v>
      </c>
      <c r="C2728" s="29" t="s">
        <v>206</v>
      </c>
      <c r="D2728" s="29" t="n">
        <v>1</v>
      </c>
      <c r="E2728" s="31" t="n">
        <v>507</v>
      </c>
      <c r="F2728" s="31" t="n">
        <v>347</v>
      </c>
      <c r="G2728" s="37" t="n">
        <v>0.684418145956608</v>
      </c>
    </row>
    <row r="2729" customFormat="false" ht="15" hidden="false" customHeight="false" outlineLevel="0" collapsed="false">
      <c r="A2729" s="20" t="s">
        <v>3129</v>
      </c>
      <c r="B2729" s="20" t="s">
        <v>2832</v>
      </c>
      <c r="C2729" s="9" t="s">
        <v>231</v>
      </c>
      <c r="D2729" s="9" t="n">
        <v>4</v>
      </c>
      <c r="E2729" s="30" t="n">
        <v>476</v>
      </c>
      <c r="F2729" s="30" t="n">
        <v>72</v>
      </c>
      <c r="G2729" s="35" t="n">
        <v>0.151260504201681</v>
      </c>
    </row>
    <row r="2730" customFormat="false" ht="15" hidden="false" customHeight="false" outlineLevel="0" collapsed="false">
      <c r="A2730" s="25" t="s">
        <v>3130</v>
      </c>
      <c r="B2730" s="25" t="s">
        <v>194</v>
      </c>
      <c r="C2730" s="29" t="s">
        <v>197</v>
      </c>
      <c r="D2730" s="29" t="n">
        <v>2</v>
      </c>
      <c r="E2730" s="31" t="n">
        <v>472</v>
      </c>
      <c r="F2730" s="31" t="n">
        <v>71</v>
      </c>
      <c r="G2730" s="37" t="n">
        <v>0.150423728813559</v>
      </c>
    </row>
    <row r="2731" customFormat="false" ht="15" hidden="false" customHeight="false" outlineLevel="0" collapsed="false">
      <c r="A2731" s="20" t="s">
        <v>3131</v>
      </c>
      <c r="B2731" s="20" t="s">
        <v>2476</v>
      </c>
      <c r="C2731" s="9" t="s">
        <v>316</v>
      </c>
      <c r="D2731" s="9" t="n">
        <v>5</v>
      </c>
      <c r="E2731" s="30" t="n">
        <v>470</v>
      </c>
      <c r="F2731" s="30" t="n">
        <v>70</v>
      </c>
      <c r="G2731" s="35" t="n">
        <v>0.148936170212766</v>
      </c>
    </row>
    <row r="2732" customFormat="false" ht="15" hidden="false" customHeight="false" outlineLevel="0" collapsed="false">
      <c r="A2732" s="25" t="s">
        <v>3132</v>
      </c>
      <c r="B2732" s="29" t="s">
        <v>2014</v>
      </c>
      <c r="C2732" s="29" t="s">
        <v>355</v>
      </c>
      <c r="D2732" s="29" t="n">
        <v>1</v>
      </c>
      <c r="E2732" s="31" t="n">
        <v>462</v>
      </c>
      <c r="F2732" s="31" t="n">
        <v>69</v>
      </c>
      <c r="G2732" s="37" t="n">
        <v>0.149350649350649</v>
      </c>
    </row>
    <row r="2733" customFormat="false" ht="15" hidden="false" customHeight="false" outlineLevel="0" collapsed="false">
      <c r="A2733" s="20" t="s">
        <v>3133</v>
      </c>
      <c r="B2733" s="20" t="s">
        <v>200</v>
      </c>
      <c r="C2733" s="9" t="s">
        <v>229</v>
      </c>
      <c r="D2733" s="9" t="n">
        <v>1</v>
      </c>
      <c r="E2733" s="30" t="n">
        <v>461</v>
      </c>
      <c r="F2733" s="30" t="n">
        <v>69</v>
      </c>
      <c r="G2733" s="35" t="n">
        <v>0.149674620390456</v>
      </c>
    </row>
    <row r="2734" customFormat="false" ht="15" hidden="false" customHeight="false" outlineLevel="0" collapsed="false">
      <c r="A2734" s="25" t="s">
        <v>3134</v>
      </c>
      <c r="B2734" s="25" t="s">
        <v>3061</v>
      </c>
      <c r="C2734" s="29" t="s">
        <v>203</v>
      </c>
      <c r="D2734" s="29" t="n">
        <v>3</v>
      </c>
      <c r="E2734" s="31" t="n">
        <v>453</v>
      </c>
      <c r="F2734" s="31" t="n">
        <v>69</v>
      </c>
      <c r="G2734" s="37" t="n">
        <v>0.152317880794702</v>
      </c>
    </row>
    <row r="2735" customFormat="false" ht="15" hidden="false" customHeight="false" outlineLevel="0" collapsed="false">
      <c r="A2735" s="20" t="s">
        <v>3135</v>
      </c>
      <c r="B2735" s="9" t="s">
        <v>253</v>
      </c>
      <c r="C2735" s="9" t="s">
        <v>428</v>
      </c>
      <c r="D2735" s="9" t="n">
        <v>2</v>
      </c>
      <c r="E2735" s="30" t="n">
        <v>452</v>
      </c>
      <c r="F2735" s="30" t="n">
        <v>142</v>
      </c>
      <c r="G2735" s="35" t="n">
        <v>0.314159292035398</v>
      </c>
    </row>
    <row r="2736" customFormat="false" ht="15" hidden="false" customHeight="false" outlineLevel="0" collapsed="false">
      <c r="A2736" s="25" t="s">
        <v>3136</v>
      </c>
      <c r="B2736" s="25" t="s">
        <v>194</v>
      </c>
      <c r="C2736" s="29" t="s">
        <v>203</v>
      </c>
      <c r="D2736" s="29" t="n">
        <v>1</v>
      </c>
      <c r="E2736" s="31" t="n">
        <v>441</v>
      </c>
      <c r="F2736" s="31" t="n">
        <v>201</v>
      </c>
      <c r="G2736" s="37" t="n">
        <v>0.45578231292517</v>
      </c>
    </row>
    <row r="2737" customFormat="false" ht="15" hidden="false" customHeight="false" outlineLevel="0" collapsed="false">
      <c r="A2737" s="20" t="s">
        <v>3137</v>
      </c>
      <c r="B2737" s="9" t="s">
        <v>253</v>
      </c>
      <c r="C2737" s="9" t="s">
        <v>229</v>
      </c>
      <c r="D2737" s="9" t="n">
        <v>1</v>
      </c>
      <c r="E2737" s="30" t="n">
        <v>429</v>
      </c>
      <c r="F2737" s="30" t="n">
        <v>64</v>
      </c>
      <c r="G2737" s="35" t="n">
        <v>0.149184149184149</v>
      </c>
    </row>
    <row r="2738" customFormat="false" ht="15" hidden="false" customHeight="false" outlineLevel="0" collapsed="false">
      <c r="A2738" s="25" t="s">
        <v>3138</v>
      </c>
      <c r="B2738" s="29" t="s">
        <v>3139</v>
      </c>
      <c r="C2738" s="29" t="s">
        <v>428</v>
      </c>
      <c r="D2738" s="29" t="n">
        <v>30</v>
      </c>
      <c r="E2738" s="31" t="n">
        <v>420</v>
      </c>
      <c r="F2738" s="31" t="n">
        <v>63</v>
      </c>
      <c r="G2738" s="37" t="n">
        <v>0.15</v>
      </c>
    </row>
    <row r="2739" customFormat="false" ht="15" hidden="false" customHeight="false" outlineLevel="0" collapsed="false">
      <c r="A2739" s="20" t="s">
        <v>3140</v>
      </c>
      <c r="B2739" s="9" t="s">
        <v>1734</v>
      </c>
      <c r="C2739" s="9" t="s">
        <v>229</v>
      </c>
      <c r="D2739" s="9" t="n">
        <v>7</v>
      </c>
      <c r="E2739" s="30" t="n">
        <v>392</v>
      </c>
      <c r="F2739" s="30" t="n">
        <v>59</v>
      </c>
      <c r="G2739" s="35" t="n">
        <v>0.150510204081633</v>
      </c>
    </row>
    <row r="2740" customFormat="false" ht="15" hidden="false" customHeight="false" outlineLevel="0" collapsed="false">
      <c r="A2740" s="25" t="s">
        <v>3141</v>
      </c>
      <c r="B2740" s="25" t="s">
        <v>2610</v>
      </c>
      <c r="C2740" s="29" t="s">
        <v>203</v>
      </c>
      <c r="D2740" s="29" t="n">
        <v>4</v>
      </c>
      <c r="E2740" s="31" t="n">
        <v>384</v>
      </c>
      <c r="F2740" s="31" t="n">
        <v>57</v>
      </c>
      <c r="G2740" s="37" t="n">
        <v>0.1484375</v>
      </c>
    </row>
    <row r="2741" customFormat="false" ht="15" hidden="false" customHeight="false" outlineLevel="0" collapsed="false">
      <c r="A2741" s="20" t="s">
        <v>3142</v>
      </c>
      <c r="B2741" s="20" t="s">
        <v>200</v>
      </c>
      <c r="C2741" s="9" t="s">
        <v>439</v>
      </c>
      <c r="D2741" s="9" t="n">
        <v>2</v>
      </c>
      <c r="E2741" s="30" t="n">
        <v>380</v>
      </c>
      <c r="F2741" s="30" t="n">
        <v>56</v>
      </c>
      <c r="G2741" s="35" t="n">
        <v>0.147368421052632</v>
      </c>
    </row>
    <row r="2742" customFormat="false" ht="15" hidden="false" customHeight="false" outlineLevel="0" collapsed="false">
      <c r="A2742" s="25" t="s">
        <v>3143</v>
      </c>
      <c r="B2742" s="25" t="s">
        <v>2832</v>
      </c>
      <c r="C2742" s="29" t="s">
        <v>231</v>
      </c>
      <c r="D2742" s="29" t="n">
        <v>4</v>
      </c>
      <c r="E2742" s="31" t="n">
        <v>380</v>
      </c>
      <c r="F2742" s="31" t="n">
        <v>56</v>
      </c>
      <c r="G2742" s="37" t="n">
        <v>0.147368421052632</v>
      </c>
    </row>
    <row r="2743" customFormat="false" ht="15" hidden="false" customHeight="false" outlineLevel="0" collapsed="false">
      <c r="A2743" s="20" t="s">
        <v>3144</v>
      </c>
      <c r="B2743" s="20" t="s">
        <v>200</v>
      </c>
      <c r="C2743" s="9" t="s">
        <v>223</v>
      </c>
      <c r="D2743" s="9" t="n">
        <v>2</v>
      </c>
      <c r="E2743" s="30" t="n">
        <v>322</v>
      </c>
      <c r="F2743" s="30" t="n">
        <v>90</v>
      </c>
      <c r="G2743" s="35" t="n">
        <v>0.279503105590062</v>
      </c>
    </row>
    <row r="2744" customFormat="false" ht="15" hidden="false" customHeight="false" outlineLevel="0" collapsed="false">
      <c r="A2744" s="25" t="s">
        <v>3145</v>
      </c>
      <c r="B2744" s="29" t="s">
        <v>253</v>
      </c>
      <c r="C2744" s="29" t="s">
        <v>428</v>
      </c>
      <c r="D2744" s="29" t="n">
        <v>2</v>
      </c>
      <c r="E2744" s="31" t="n">
        <v>316</v>
      </c>
      <c r="F2744" s="31" t="n">
        <v>106</v>
      </c>
      <c r="G2744" s="37" t="n">
        <v>0.335443037974684</v>
      </c>
    </row>
    <row r="2745" customFormat="false" ht="15" hidden="false" customHeight="false" outlineLevel="0" collapsed="false">
      <c r="A2745" s="20" t="s">
        <v>3146</v>
      </c>
      <c r="B2745" s="9" t="s">
        <v>688</v>
      </c>
      <c r="C2745" s="9" t="s">
        <v>380</v>
      </c>
      <c r="D2745" s="9" t="n">
        <v>5</v>
      </c>
      <c r="E2745" s="30" t="n">
        <v>315</v>
      </c>
      <c r="F2745" s="30" t="n">
        <v>47</v>
      </c>
      <c r="G2745" s="35" t="n">
        <v>0.149206349206349</v>
      </c>
    </row>
    <row r="2746" customFormat="false" ht="15" hidden="false" customHeight="false" outlineLevel="0" collapsed="false">
      <c r="A2746" s="25" t="s">
        <v>3147</v>
      </c>
      <c r="B2746" s="25" t="s">
        <v>200</v>
      </c>
      <c r="C2746" s="29" t="s">
        <v>880</v>
      </c>
      <c r="D2746" s="29" t="n">
        <v>1</v>
      </c>
      <c r="E2746" s="31" t="n">
        <v>310</v>
      </c>
      <c r="F2746" s="31" t="n">
        <v>46</v>
      </c>
      <c r="G2746" s="37" t="n">
        <v>0.148387096774194</v>
      </c>
    </row>
    <row r="2747" customFormat="false" ht="15" hidden="false" customHeight="false" outlineLevel="0" collapsed="false">
      <c r="A2747" s="20" t="s">
        <v>3148</v>
      </c>
      <c r="B2747" s="20" t="s">
        <v>194</v>
      </c>
      <c r="C2747" s="9" t="s">
        <v>223</v>
      </c>
      <c r="D2747" s="9" t="n">
        <v>1</v>
      </c>
      <c r="E2747" s="30" t="n">
        <v>305</v>
      </c>
      <c r="F2747" s="30" t="n">
        <v>46</v>
      </c>
      <c r="G2747" s="35" t="n">
        <v>0.150819672131148</v>
      </c>
    </row>
    <row r="2748" customFormat="false" ht="15" hidden="false" customHeight="false" outlineLevel="0" collapsed="false">
      <c r="A2748" s="25" t="s">
        <v>3149</v>
      </c>
      <c r="B2748" s="25" t="s">
        <v>200</v>
      </c>
      <c r="C2748" s="29" t="s">
        <v>880</v>
      </c>
      <c r="D2748" s="29" t="n">
        <v>2</v>
      </c>
      <c r="E2748" s="31" t="n">
        <v>304</v>
      </c>
      <c r="F2748" s="31" t="n">
        <v>46</v>
      </c>
      <c r="G2748" s="37" t="n">
        <v>0.151315789473684</v>
      </c>
    </row>
    <row r="2749" customFormat="false" ht="15" hidden="false" customHeight="false" outlineLevel="0" collapsed="false">
      <c r="A2749" s="20" t="s">
        <v>3150</v>
      </c>
      <c r="B2749" s="20" t="s">
        <v>194</v>
      </c>
      <c r="C2749" s="9" t="s">
        <v>197</v>
      </c>
      <c r="D2749" s="9" t="n">
        <v>1</v>
      </c>
      <c r="E2749" s="30" t="n">
        <v>304</v>
      </c>
      <c r="F2749" s="30" t="n">
        <v>46</v>
      </c>
      <c r="G2749" s="35" t="n">
        <v>0.151315789473684</v>
      </c>
    </row>
    <row r="2750" customFormat="false" ht="15" hidden="false" customHeight="false" outlineLevel="0" collapsed="false">
      <c r="A2750" s="25" t="s">
        <v>3151</v>
      </c>
      <c r="B2750" s="25" t="s">
        <v>3152</v>
      </c>
      <c r="C2750" s="29" t="s">
        <v>223</v>
      </c>
      <c r="D2750" s="29" t="n">
        <v>2</v>
      </c>
      <c r="E2750" s="31" t="n">
        <v>300</v>
      </c>
      <c r="F2750" s="31" t="n">
        <v>-184</v>
      </c>
      <c r="G2750" s="37" t="n">
        <v>-0.613333333333333</v>
      </c>
    </row>
    <row r="2751" customFormat="false" ht="15" hidden="false" customHeight="false" outlineLevel="0" collapsed="false">
      <c r="A2751" s="20" t="s">
        <v>3153</v>
      </c>
      <c r="B2751" s="20" t="s">
        <v>3154</v>
      </c>
      <c r="C2751" s="9" t="s">
        <v>355</v>
      </c>
      <c r="D2751" s="9" t="n">
        <v>6</v>
      </c>
      <c r="E2751" s="30" t="n">
        <v>300</v>
      </c>
      <c r="F2751" s="30" t="n">
        <v>43</v>
      </c>
      <c r="G2751" s="35" t="n">
        <v>0.143333333333333</v>
      </c>
    </row>
    <row r="2752" customFormat="false" ht="15" hidden="false" customHeight="false" outlineLevel="0" collapsed="false">
      <c r="A2752" s="25" t="s">
        <v>3155</v>
      </c>
      <c r="B2752" s="25" t="s">
        <v>3152</v>
      </c>
      <c r="C2752" s="29" t="s">
        <v>223</v>
      </c>
      <c r="D2752" s="29" t="n">
        <v>2</v>
      </c>
      <c r="E2752" s="31" t="n">
        <v>300</v>
      </c>
      <c r="F2752" s="31" t="n">
        <v>-184</v>
      </c>
      <c r="G2752" s="37" t="n">
        <v>-0.613333333333333</v>
      </c>
    </row>
    <row r="2753" customFormat="false" ht="15" hidden="false" customHeight="false" outlineLevel="0" collapsed="false">
      <c r="A2753" s="20" t="s">
        <v>3156</v>
      </c>
      <c r="B2753" s="20" t="s">
        <v>3157</v>
      </c>
      <c r="C2753" s="9" t="s">
        <v>634</v>
      </c>
      <c r="D2753" s="9" t="n">
        <v>5</v>
      </c>
      <c r="E2753" s="30" t="n">
        <v>300</v>
      </c>
      <c r="F2753" s="30" t="n">
        <v>45</v>
      </c>
      <c r="G2753" s="35" t="n">
        <v>0.15</v>
      </c>
    </row>
    <row r="2754" customFormat="false" ht="15" hidden="false" customHeight="false" outlineLevel="0" collapsed="false">
      <c r="A2754" s="25" t="s">
        <v>3158</v>
      </c>
      <c r="B2754" s="25" t="s">
        <v>194</v>
      </c>
      <c r="C2754" s="29" t="s">
        <v>485</v>
      </c>
      <c r="D2754" s="29" t="n">
        <v>1</v>
      </c>
      <c r="E2754" s="31" t="n">
        <v>300</v>
      </c>
      <c r="F2754" s="31" t="n">
        <v>45</v>
      </c>
      <c r="G2754" s="37" t="n">
        <v>0.15</v>
      </c>
    </row>
    <row r="2755" customFormat="false" ht="15" hidden="false" customHeight="false" outlineLevel="0" collapsed="false">
      <c r="A2755" s="20" t="s">
        <v>3159</v>
      </c>
      <c r="B2755" s="20" t="s">
        <v>3160</v>
      </c>
      <c r="C2755" s="9" t="s">
        <v>428</v>
      </c>
      <c r="D2755" s="9" t="n">
        <v>20</v>
      </c>
      <c r="E2755" s="30" t="n">
        <v>300</v>
      </c>
      <c r="F2755" s="30" t="n">
        <v>45</v>
      </c>
      <c r="G2755" s="35" t="n">
        <v>0.15</v>
      </c>
    </row>
    <row r="2756" customFormat="false" ht="15" hidden="false" customHeight="false" outlineLevel="0" collapsed="false">
      <c r="A2756" s="25" t="s">
        <v>3161</v>
      </c>
      <c r="B2756" s="29" t="s">
        <v>253</v>
      </c>
      <c r="C2756" s="29" t="s">
        <v>428</v>
      </c>
      <c r="D2756" s="29" t="n">
        <v>2</v>
      </c>
      <c r="E2756" s="31" t="n">
        <v>248</v>
      </c>
      <c r="F2756" s="31" t="n">
        <v>78</v>
      </c>
      <c r="G2756" s="37" t="n">
        <v>0.314516129032258</v>
      </c>
    </row>
    <row r="2757" customFormat="false" ht="15" hidden="false" customHeight="false" outlineLevel="0" collapsed="false">
      <c r="A2757" s="20" t="s">
        <v>3162</v>
      </c>
      <c r="B2757" s="20" t="s">
        <v>194</v>
      </c>
      <c r="C2757" s="9" t="s">
        <v>209</v>
      </c>
      <c r="D2757" s="9" t="n">
        <v>1</v>
      </c>
      <c r="E2757" s="30" t="n">
        <v>246</v>
      </c>
      <c r="F2757" s="30" t="n">
        <v>37</v>
      </c>
      <c r="G2757" s="35" t="n">
        <v>0.150406504065041</v>
      </c>
    </row>
    <row r="2758" customFormat="false" ht="15" hidden="false" customHeight="false" outlineLevel="0" collapsed="false">
      <c r="A2758" s="25" t="s">
        <v>3163</v>
      </c>
      <c r="B2758" s="25" t="s">
        <v>194</v>
      </c>
      <c r="C2758" s="29" t="s">
        <v>197</v>
      </c>
      <c r="D2758" s="29" t="n">
        <v>1</v>
      </c>
      <c r="E2758" s="31" t="n">
        <v>226</v>
      </c>
      <c r="F2758" s="31" t="n">
        <v>34</v>
      </c>
      <c r="G2758" s="37" t="n">
        <v>0.150442477876106</v>
      </c>
    </row>
    <row r="2759" customFormat="false" ht="15" hidden="false" customHeight="false" outlineLevel="0" collapsed="false">
      <c r="A2759" s="20" t="s">
        <v>3164</v>
      </c>
      <c r="B2759" s="20" t="s">
        <v>2832</v>
      </c>
      <c r="C2759" s="9" t="s">
        <v>439</v>
      </c>
      <c r="D2759" s="9" t="n">
        <v>8</v>
      </c>
      <c r="E2759" s="30" t="n">
        <v>224</v>
      </c>
      <c r="F2759" s="30" t="n">
        <v>33</v>
      </c>
      <c r="G2759" s="35" t="n">
        <v>0.147321428571429</v>
      </c>
    </row>
    <row r="2760" customFormat="false" ht="15" hidden="false" customHeight="false" outlineLevel="0" collapsed="false">
      <c r="A2760" s="25" t="s">
        <v>3165</v>
      </c>
      <c r="B2760" s="29" t="s">
        <v>688</v>
      </c>
      <c r="C2760" s="29" t="s">
        <v>209</v>
      </c>
      <c r="D2760" s="29" t="n">
        <v>1</v>
      </c>
      <c r="E2760" s="31" t="n">
        <v>220</v>
      </c>
      <c r="F2760" s="31" t="n">
        <v>33</v>
      </c>
      <c r="G2760" s="37" t="n">
        <v>0.15</v>
      </c>
    </row>
    <row r="2761" customFormat="false" ht="15" hidden="false" customHeight="false" outlineLevel="0" collapsed="false">
      <c r="A2761" s="20" t="s">
        <v>3166</v>
      </c>
      <c r="B2761" s="20" t="s">
        <v>220</v>
      </c>
      <c r="C2761" s="9" t="s">
        <v>217</v>
      </c>
      <c r="D2761" s="9" t="n">
        <v>1</v>
      </c>
      <c r="E2761" s="30" t="n">
        <v>213</v>
      </c>
      <c r="F2761" s="30" t="n">
        <v>32</v>
      </c>
      <c r="G2761" s="35" t="n">
        <v>0.150234741784038</v>
      </c>
    </row>
    <row r="2762" customFormat="false" ht="15" hidden="false" customHeight="false" outlineLevel="0" collapsed="false">
      <c r="A2762" s="25" t="s">
        <v>3167</v>
      </c>
      <c r="B2762" s="25" t="s">
        <v>194</v>
      </c>
      <c r="C2762" s="29" t="s">
        <v>209</v>
      </c>
      <c r="D2762" s="29" t="n">
        <v>1</v>
      </c>
      <c r="E2762" s="31" t="n">
        <v>212</v>
      </c>
      <c r="F2762" s="31" t="n">
        <v>32</v>
      </c>
      <c r="G2762" s="37" t="n">
        <v>0.150943396226415</v>
      </c>
    </row>
    <row r="2763" customFormat="false" ht="15" hidden="false" customHeight="false" outlineLevel="0" collapsed="false">
      <c r="A2763" s="20" t="s">
        <v>3168</v>
      </c>
      <c r="B2763" s="20" t="s">
        <v>2990</v>
      </c>
      <c r="C2763" s="9" t="s">
        <v>203</v>
      </c>
      <c r="D2763" s="9" t="n">
        <v>3</v>
      </c>
      <c r="E2763" s="30" t="n">
        <v>204</v>
      </c>
      <c r="F2763" s="30" t="n">
        <v>30</v>
      </c>
      <c r="G2763" s="35" t="n">
        <v>0.147058823529412</v>
      </c>
    </row>
    <row r="2764" customFormat="false" ht="15" hidden="false" customHeight="false" outlineLevel="0" collapsed="false">
      <c r="A2764" s="25" t="s">
        <v>3169</v>
      </c>
      <c r="B2764" s="29" t="s">
        <v>3170</v>
      </c>
      <c r="C2764" s="29" t="s">
        <v>439</v>
      </c>
      <c r="D2764" s="29" t="n">
        <v>1</v>
      </c>
      <c r="E2764" s="31" t="n">
        <v>200</v>
      </c>
      <c r="F2764" s="31" t="n">
        <v>-250</v>
      </c>
      <c r="G2764" s="37" t="n">
        <v>-1.25</v>
      </c>
    </row>
    <row r="2765" customFormat="false" ht="15" hidden="false" customHeight="false" outlineLevel="0" collapsed="false">
      <c r="A2765" s="20" t="s">
        <v>3171</v>
      </c>
      <c r="B2765" s="9" t="s">
        <v>1290</v>
      </c>
      <c r="C2765" s="9" t="s">
        <v>209</v>
      </c>
      <c r="D2765" s="9" t="n">
        <v>9</v>
      </c>
      <c r="E2765" s="30" t="n">
        <v>198</v>
      </c>
      <c r="F2765" s="30" t="n">
        <v>27</v>
      </c>
      <c r="G2765" s="35" t="n">
        <v>0.136363636363636</v>
      </c>
    </row>
    <row r="2766" customFormat="false" ht="15" hidden="false" customHeight="false" outlineLevel="0" collapsed="false">
      <c r="A2766" s="25" t="s">
        <v>3172</v>
      </c>
      <c r="B2766" s="25" t="s">
        <v>2610</v>
      </c>
      <c r="C2766" s="29" t="s">
        <v>203</v>
      </c>
      <c r="D2766" s="29" t="n">
        <v>3</v>
      </c>
      <c r="E2766" s="31" t="n">
        <v>192</v>
      </c>
      <c r="F2766" s="31" t="n">
        <v>30</v>
      </c>
      <c r="G2766" s="37" t="n">
        <v>0.15625</v>
      </c>
    </row>
    <row r="2767" customFormat="false" ht="15" hidden="false" customHeight="false" outlineLevel="0" collapsed="false">
      <c r="A2767" s="20" t="s">
        <v>3173</v>
      </c>
      <c r="B2767" s="9" t="s">
        <v>1290</v>
      </c>
      <c r="C2767" s="9" t="s">
        <v>203</v>
      </c>
      <c r="D2767" s="9" t="n">
        <v>4</v>
      </c>
      <c r="E2767" s="30" t="n">
        <v>172</v>
      </c>
      <c r="F2767" s="30" t="n">
        <v>25</v>
      </c>
      <c r="G2767" s="35" t="n">
        <v>0.145348837209302</v>
      </c>
    </row>
    <row r="2768" customFormat="false" ht="15" hidden="false" customHeight="false" outlineLevel="0" collapsed="false">
      <c r="A2768" s="25" t="s">
        <v>3174</v>
      </c>
      <c r="B2768" s="25" t="s">
        <v>3061</v>
      </c>
      <c r="C2768" s="29" t="s">
        <v>203</v>
      </c>
      <c r="D2768" s="29" t="n">
        <v>10</v>
      </c>
      <c r="E2768" s="31" t="n">
        <v>150</v>
      </c>
      <c r="F2768" s="31" t="n">
        <v>20</v>
      </c>
      <c r="G2768" s="37" t="n">
        <v>0.133333333333333</v>
      </c>
    </row>
    <row r="2769" customFormat="false" ht="15" hidden="false" customHeight="false" outlineLevel="0" collapsed="false">
      <c r="A2769" s="20" t="s">
        <v>3175</v>
      </c>
      <c r="B2769" s="20" t="s">
        <v>1937</v>
      </c>
      <c r="C2769" s="9" t="s">
        <v>203</v>
      </c>
      <c r="D2769" s="9" t="n">
        <v>5</v>
      </c>
      <c r="E2769" s="30" t="n">
        <v>135</v>
      </c>
      <c r="F2769" s="30" t="n">
        <v>20</v>
      </c>
      <c r="G2769" s="35" t="n">
        <v>0.148148148148148</v>
      </c>
    </row>
    <row r="2770" customFormat="false" ht="15" hidden="false" customHeight="false" outlineLevel="0" collapsed="false">
      <c r="A2770" s="25" t="s">
        <v>3176</v>
      </c>
      <c r="B2770" s="25" t="s">
        <v>200</v>
      </c>
      <c r="C2770" s="29" t="s">
        <v>880</v>
      </c>
      <c r="D2770" s="29" t="n">
        <v>1</v>
      </c>
      <c r="E2770" s="31" t="n">
        <v>129</v>
      </c>
      <c r="F2770" s="31" t="n">
        <v>19</v>
      </c>
      <c r="G2770" s="37" t="n">
        <v>0.147286821705426</v>
      </c>
    </row>
    <row r="2771" customFormat="false" ht="15" hidden="false" customHeight="false" outlineLevel="0" collapsed="false">
      <c r="A2771" s="20" t="s">
        <v>3177</v>
      </c>
      <c r="B2771" s="9" t="s">
        <v>253</v>
      </c>
      <c r="C2771" s="9" t="s">
        <v>229</v>
      </c>
      <c r="D2771" s="9" t="n">
        <v>25</v>
      </c>
      <c r="E2771" s="30" t="n">
        <v>100</v>
      </c>
      <c r="F2771" s="30" t="n">
        <v>15</v>
      </c>
      <c r="G2771" s="35" t="n">
        <v>0.15</v>
      </c>
    </row>
    <row r="2772" customFormat="false" ht="15" hidden="false" customHeight="false" outlineLevel="0" collapsed="false">
      <c r="A2772" s="25" t="s">
        <v>3178</v>
      </c>
      <c r="B2772" s="29" t="s">
        <v>253</v>
      </c>
      <c r="C2772" s="29" t="s">
        <v>355</v>
      </c>
      <c r="D2772" s="29" t="n">
        <v>2</v>
      </c>
      <c r="E2772" s="31" t="n">
        <v>80</v>
      </c>
      <c r="F2772" s="31" t="n">
        <v>12</v>
      </c>
      <c r="G2772" s="37" t="n">
        <v>0.15</v>
      </c>
    </row>
    <row r="2773" customFormat="false" ht="15" hidden="false" customHeight="false" outlineLevel="0" collapsed="false">
      <c r="A2773" s="20" t="s">
        <v>3179</v>
      </c>
      <c r="B2773" s="20" t="s">
        <v>3039</v>
      </c>
      <c r="C2773" s="9" t="s">
        <v>203</v>
      </c>
      <c r="D2773" s="9" t="n">
        <v>4</v>
      </c>
      <c r="E2773" s="30" t="n">
        <v>60</v>
      </c>
      <c r="F2773" s="30" t="n">
        <v>8</v>
      </c>
      <c r="G2773" s="35" t="n">
        <v>0.133333333333333</v>
      </c>
    </row>
    <row r="2774" customFormat="false" ht="15" hidden="false" customHeight="false" outlineLevel="0" collapsed="false">
      <c r="A2774" s="25" t="s">
        <v>3180</v>
      </c>
      <c r="B2774" s="25" t="s">
        <v>3061</v>
      </c>
      <c r="C2774" s="29" t="s">
        <v>203</v>
      </c>
      <c r="D2774" s="29" t="n">
        <v>10</v>
      </c>
      <c r="E2774" s="31" t="n">
        <v>60</v>
      </c>
      <c r="F2774" s="31" t="n">
        <v>10</v>
      </c>
      <c r="G2774" s="37" t="n">
        <v>0.166666666666667</v>
      </c>
    </row>
    <row r="2775" customFormat="false" ht="15" hidden="false" customHeight="false" outlineLevel="0" collapsed="false">
      <c r="A2775" s="20" t="s">
        <v>3181</v>
      </c>
      <c r="B2775" s="20" t="s">
        <v>194</v>
      </c>
      <c r="C2775" s="9" t="s">
        <v>203</v>
      </c>
      <c r="D2775" s="9" t="n">
        <v>1</v>
      </c>
      <c r="E2775" s="30" t="n">
        <v>43</v>
      </c>
      <c r="F2775" s="30" t="n">
        <v>6</v>
      </c>
      <c r="G2775" s="35" t="n">
        <v>0.13953488372093</v>
      </c>
    </row>
    <row r="2776" customFormat="false" ht="15" hidden="false" customHeight="false" outlineLevel="0" collapsed="false">
      <c r="A2776" s="25" t="s">
        <v>3182</v>
      </c>
      <c r="B2776" s="25" t="s">
        <v>1199</v>
      </c>
      <c r="C2776" s="29" t="s">
        <v>203</v>
      </c>
      <c r="D2776" s="29" t="n">
        <v>4</v>
      </c>
      <c r="E2776" s="31" t="n">
        <v>12</v>
      </c>
      <c r="F2776" s="31" t="n">
        <v>1</v>
      </c>
      <c r="G2776" s="37" t="n">
        <v>0.0833333333333333</v>
      </c>
    </row>
  </sheetData>
  <mergeCells count="5">
    <mergeCell ref="A1:G1"/>
    <mergeCell ref="A2:G2"/>
    <mergeCell ref="A4:G4"/>
    <mergeCell ref="A9:G9"/>
    <mergeCell ref="A11:G11"/>
  </mergeCells>
  <conditionalFormatting sqref="G13:G2776">
    <cfRule type="cellIs" priority="2" operator="lessThan" aboveAverage="0" equalAverage="0" bottom="0" percent="0" rank="0" text="" dxfId="0">
      <formula>0</formula>
    </cfRule>
  </conditionalFormatting>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8"/>
    <col collapsed="false" customWidth="true" hidden="false" outlineLevel="0" max="3" min="3" style="0" width="16"/>
    <col collapsed="false" customWidth="true" hidden="false" outlineLevel="0" max="4" min="4" style="0" width="20"/>
    <col collapsed="false" customWidth="true" hidden="false" outlineLevel="0" max="5" min="5" style="0" width="13"/>
    <col collapsed="false" customWidth="true" hidden="false" outlineLevel="0" max="6" min="6" style="0" width="12"/>
    <col collapsed="false" customWidth="true" hidden="false" outlineLevel="0" max="7" min="7" style="0" width="9"/>
  </cols>
  <sheetData>
    <row r="1" customFormat="false" ht="25.5" hidden="false" customHeight="true" outlineLevel="0" collapsed="false">
      <c r="A1" s="1" t="s">
        <v>3183</v>
      </c>
      <c r="B1" s="1"/>
      <c r="C1" s="1"/>
      <c r="D1" s="1"/>
      <c r="E1" s="1"/>
      <c r="F1" s="1"/>
      <c r="G1" s="1"/>
    </row>
    <row r="2" customFormat="false" ht="31.5" hidden="false" customHeight="true" outlineLevel="0" collapsed="false">
      <c r="A2" s="2" t="s">
        <v>3184</v>
      </c>
      <c r="B2" s="2"/>
      <c r="C2" s="2"/>
      <c r="D2" s="2"/>
      <c r="E2" s="2"/>
      <c r="F2" s="2"/>
      <c r="G2" s="2"/>
    </row>
    <row r="3" customFormat="false" ht="31.5" hidden="false" customHeight="true" outlineLevel="0" collapsed="false">
      <c r="A3" s="7" t="s">
        <v>3185</v>
      </c>
      <c r="B3" s="7" t="s">
        <v>187</v>
      </c>
      <c r="C3" s="7" t="s">
        <v>188</v>
      </c>
      <c r="D3" s="7" t="s">
        <v>189</v>
      </c>
      <c r="E3" s="7" t="s">
        <v>191</v>
      </c>
      <c r="F3" s="7" t="s">
        <v>192</v>
      </c>
      <c r="G3" s="7" t="s">
        <v>182</v>
      </c>
    </row>
    <row r="4" customFormat="false" ht="15" hidden="false" customHeight="false" outlineLevel="0" collapsed="false">
      <c r="A4" s="9" t="n">
        <v>1</v>
      </c>
      <c r="B4" s="20" t="s">
        <v>204</v>
      </c>
      <c r="C4" s="20" t="s">
        <v>194</v>
      </c>
      <c r="D4" s="9" t="s">
        <v>203</v>
      </c>
      <c r="E4" s="30" t="n">
        <v>5734626</v>
      </c>
      <c r="F4" s="38" t="n">
        <v>-411447</v>
      </c>
      <c r="G4" s="35" t="n">
        <v>-0.0717478349939473</v>
      </c>
    </row>
    <row r="5" customFormat="false" ht="15" hidden="false" customHeight="false" outlineLevel="0" collapsed="false">
      <c r="A5" s="29" t="n">
        <v>2</v>
      </c>
      <c r="B5" s="25" t="s">
        <v>215</v>
      </c>
      <c r="C5" s="29" t="s">
        <v>216</v>
      </c>
      <c r="D5" s="29" t="s">
        <v>217</v>
      </c>
      <c r="E5" s="31" t="n">
        <v>3396096</v>
      </c>
      <c r="F5" s="39" t="n">
        <v>-403524</v>
      </c>
      <c r="G5" s="37" t="n">
        <v>-0.118819962686567</v>
      </c>
    </row>
    <row r="6" customFormat="false" ht="15" hidden="false" customHeight="false" outlineLevel="0" collapsed="false">
      <c r="A6" s="9" t="n">
        <v>3</v>
      </c>
      <c r="B6" s="20" t="s">
        <v>198</v>
      </c>
      <c r="C6" s="20" t="s">
        <v>194</v>
      </c>
      <c r="D6" s="9" t="s">
        <v>195</v>
      </c>
      <c r="E6" s="30" t="n">
        <v>7142702</v>
      </c>
      <c r="F6" s="38" t="n">
        <v>-293932</v>
      </c>
      <c r="G6" s="35" t="n">
        <v>-0.0411513738078391</v>
      </c>
    </row>
    <row r="7" customFormat="false" ht="15" hidden="false" customHeight="false" outlineLevel="0" collapsed="false">
      <c r="A7" s="29" t="n">
        <v>4</v>
      </c>
      <c r="B7" s="25" t="s">
        <v>205</v>
      </c>
      <c r="C7" s="25" t="s">
        <v>194</v>
      </c>
      <c r="D7" s="29" t="s">
        <v>206</v>
      </c>
      <c r="E7" s="31" t="n">
        <v>4579044</v>
      </c>
      <c r="F7" s="39" t="n">
        <v>-271502</v>
      </c>
      <c r="G7" s="37" t="n">
        <v>-0.0592922889581318</v>
      </c>
    </row>
    <row r="8" customFormat="false" ht="15" hidden="false" customHeight="false" outlineLevel="0" collapsed="false">
      <c r="A8" s="9" t="n">
        <v>5</v>
      </c>
      <c r="B8" s="20" t="s">
        <v>266</v>
      </c>
      <c r="C8" s="20" t="s">
        <v>194</v>
      </c>
      <c r="D8" s="9" t="s">
        <v>203</v>
      </c>
      <c r="E8" s="30" t="n">
        <v>1444699</v>
      </c>
      <c r="F8" s="38" t="n">
        <v>-188830</v>
      </c>
      <c r="G8" s="35" t="n">
        <v>-0.13070542722048</v>
      </c>
    </row>
    <row r="9" customFormat="false" ht="15" hidden="false" customHeight="false" outlineLevel="0" collapsed="false">
      <c r="A9" s="29" t="n">
        <v>6</v>
      </c>
      <c r="B9" s="25" t="s">
        <v>275</v>
      </c>
      <c r="C9" s="25" t="s">
        <v>194</v>
      </c>
      <c r="D9" s="29" t="s">
        <v>206</v>
      </c>
      <c r="E9" s="31" t="n">
        <v>1238094</v>
      </c>
      <c r="F9" s="39" t="n">
        <v>-184778</v>
      </c>
      <c r="G9" s="37" t="n">
        <v>-0.149243918474688</v>
      </c>
    </row>
    <row r="10" customFormat="false" ht="15" hidden="false" customHeight="false" outlineLevel="0" collapsed="false">
      <c r="A10" s="9" t="n">
        <v>7</v>
      </c>
      <c r="B10" s="20" t="s">
        <v>230</v>
      </c>
      <c r="C10" s="20" t="s">
        <v>194</v>
      </c>
      <c r="D10" s="9" t="s">
        <v>231</v>
      </c>
      <c r="E10" s="30" t="n">
        <v>2480850</v>
      </c>
      <c r="F10" s="38" t="n">
        <v>-183660</v>
      </c>
      <c r="G10" s="35" t="n">
        <v>-0.0740310780579237</v>
      </c>
    </row>
    <row r="11" customFormat="false" ht="15" hidden="false" customHeight="false" outlineLevel="0" collapsed="false">
      <c r="A11" s="29" t="n">
        <v>8</v>
      </c>
      <c r="B11" s="25" t="s">
        <v>354</v>
      </c>
      <c r="C11" s="25" t="s">
        <v>194</v>
      </c>
      <c r="D11" s="29" t="s">
        <v>355</v>
      </c>
      <c r="E11" s="31" t="n">
        <v>635392</v>
      </c>
      <c r="F11" s="39" t="n">
        <v>-168032</v>
      </c>
      <c r="G11" s="37" t="n">
        <v>-0.264454069298952</v>
      </c>
    </row>
    <row r="12" customFormat="false" ht="15" hidden="false" customHeight="false" outlineLevel="0" collapsed="false">
      <c r="A12" s="9" t="n">
        <v>9</v>
      </c>
      <c r="B12" s="20" t="s">
        <v>210</v>
      </c>
      <c r="C12" s="20" t="s">
        <v>194</v>
      </c>
      <c r="D12" s="9" t="s">
        <v>197</v>
      </c>
      <c r="E12" s="30" t="n">
        <v>3822307</v>
      </c>
      <c r="F12" s="38" t="n">
        <v>-156948</v>
      </c>
      <c r="G12" s="35" t="n">
        <v>-0.041061066000193</v>
      </c>
    </row>
    <row r="13" customFormat="false" ht="15" hidden="false" customHeight="false" outlineLevel="0" collapsed="false">
      <c r="A13" s="29" t="n">
        <v>10</v>
      </c>
      <c r="B13" s="25" t="s">
        <v>248</v>
      </c>
      <c r="C13" s="25" t="s">
        <v>194</v>
      </c>
      <c r="D13" s="29" t="s">
        <v>206</v>
      </c>
      <c r="E13" s="31" t="n">
        <v>1963929</v>
      </c>
      <c r="F13" s="39" t="n">
        <v>-143451</v>
      </c>
      <c r="G13" s="37" t="n">
        <v>-0.0730428645842084</v>
      </c>
    </row>
    <row r="14" customFormat="false" ht="15" hidden="false" customHeight="false" outlineLevel="0" collapsed="false">
      <c r="A14" s="9" t="n">
        <v>11</v>
      </c>
      <c r="B14" s="20" t="s">
        <v>196</v>
      </c>
      <c r="C14" s="20" t="s">
        <v>194</v>
      </c>
      <c r="D14" s="9" t="s">
        <v>197</v>
      </c>
      <c r="E14" s="30" t="n">
        <v>9067800</v>
      </c>
      <c r="F14" s="38" t="n">
        <v>-124338</v>
      </c>
      <c r="G14" s="35" t="n">
        <v>-0.0137120359955005</v>
      </c>
    </row>
    <row r="15" customFormat="false" ht="15" hidden="false" customHeight="false" outlineLevel="0" collapsed="false">
      <c r="A15" s="29" t="n">
        <v>12</v>
      </c>
      <c r="B15" s="25" t="s">
        <v>619</v>
      </c>
      <c r="C15" s="25" t="s">
        <v>620</v>
      </c>
      <c r="D15" s="29" t="s">
        <v>229</v>
      </c>
      <c r="E15" s="31" t="n">
        <v>191268</v>
      </c>
      <c r="F15" s="39" t="n">
        <v>-122256</v>
      </c>
      <c r="G15" s="37" t="n">
        <v>-0.639186900056465</v>
      </c>
    </row>
    <row r="16" customFormat="false" ht="15" hidden="false" customHeight="false" outlineLevel="0" collapsed="false">
      <c r="A16" s="9" t="n">
        <v>13</v>
      </c>
      <c r="B16" s="20" t="s">
        <v>234</v>
      </c>
      <c r="C16" s="20" t="s">
        <v>220</v>
      </c>
      <c r="D16" s="9" t="s">
        <v>217</v>
      </c>
      <c r="E16" s="30" t="n">
        <v>2366070</v>
      </c>
      <c r="F16" s="38" t="n">
        <v>-122010</v>
      </c>
      <c r="G16" s="35" t="n">
        <v>-0.0515665217005414</v>
      </c>
    </row>
    <row r="17" customFormat="false" ht="15" hidden="false" customHeight="false" outlineLevel="0" collapsed="false">
      <c r="A17" s="29" t="n">
        <v>14</v>
      </c>
      <c r="B17" s="25" t="s">
        <v>533</v>
      </c>
      <c r="C17" s="25" t="s">
        <v>240</v>
      </c>
      <c r="D17" s="29" t="s">
        <v>223</v>
      </c>
      <c r="E17" s="31" t="n">
        <v>266097</v>
      </c>
      <c r="F17" s="39" t="n">
        <v>-110658</v>
      </c>
      <c r="G17" s="37" t="n">
        <v>-0.415855872106788</v>
      </c>
    </row>
    <row r="18" customFormat="false" ht="15" hidden="false" customHeight="false" outlineLevel="0" collapsed="false">
      <c r="A18" s="9" t="n">
        <v>15</v>
      </c>
      <c r="B18" s="20" t="s">
        <v>221</v>
      </c>
      <c r="C18" s="20" t="s">
        <v>222</v>
      </c>
      <c r="D18" s="9" t="s">
        <v>223</v>
      </c>
      <c r="E18" s="30" t="n">
        <v>2811672</v>
      </c>
      <c r="F18" s="38" t="n">
        <v>-100224</v>
      </c>
      <c r="G18" s="35" t="n">
        <v>-0.0356456940923407</v>
      </c>
    </row>
    <row r="19" customFormat="false" ht="15" hidden="false" customHeight="false" outlineLevel="0" collapsed="false">
      <c r="A19" s="29" t="n">
        <v>16</v>
      </c>
      <c r="B19" s="25" t="s">
        <v>652</v>
      </c>
      <c r="C19" s="29" t="s">
        <v>281</v>
      </c>
      <c r="D19" s="25" t="s">
        <v>226</v>
      </c>
      <c r="E19" s="31" t="n">
        <v>174640</v>
      </c>
      <c r="F19" s="39" t="n">
        <v>-72480</v>
      </c>
      <c r="G19" s="37" t="n">
        <v>-0.415025194686212</v>
      </c>
    </row>
    <row r="20" customFormat="false" ht="15" hidden="false" customHeight="false" outlineLevel="0" collapsed="false">
      <c r="A20" s="9" t="n">
        <v>17</v>
      </c>
      <c r="B20" s="20" t="s">
        <v>527</v>
      </c>
      <c r="C20" s="20" t="s">
        <v>194</v>
      </c>
      <c r="D20" s="9" t="s">
        <v>209</v>
      </c>
      <c r="E20" s="30" t="n">
        <v>273492</v>
      </c>
      <c r="F20" s="38" t="n">
        <v>-72136</v>
      </c>
      <c r="G20" s="35" t="n">
        <v>-0.263759086188993</v>
      </c>
    </row>
    <row r="21" customFormat="false" ht="15" hidden="false" customHeight="false" outlineLevel="0" collapsed="false">
      <c r="A21" s="29" t="n">
        <v>18</v>
      </c>
      <c r="B21" s="25" t="s">
        <v>261</v>
      </c>
      <c r="C21" s="25" t="s">
        <v>194</v>
      </c>
      <c r="D21" s="29" t="s">
        <v>229</v>
      </c>
      <c r="E21" s="31" t="n">
        <v>1676547</v>
      </c>
      <c r="F21" s="39" t="n">
        <v>-63114</v>
      </c>
      <c r="G21" s="37" t="n">
        <v>-0.037645231538394</v>
      </c>
    </row>
    <row r="22" customFormat="false" ht="15" hidden="false" customHeight="false" outlineLevel="0" collapsed="false">
      <c r="A22" s="9" t="n">
        <v>19</v>
      </c>
      <c r="B22" s="20" t="s">
        <v>592</v>
      </c>
      <c r="C22" s="20" t="s">
        <v>194</v>
      </c>
      <c r="D22" s="9" t="s">
        <v>206</v>
      </c>
      <c r="E22" s="30" t="n">
        <v>217248</v>
      </c>
      <c r="F22" s="38" t="n">
        <v>-54020</v>
      </c>
      <c r="G22" s="35" t="n">
        <v>-0.248655913978495</v>
      </c>
    </row>
    <row r="23" customFormat="false" ht="15" hidden="false" customHeight="false" outlineLevel="0" collapsed="false">
      <c r="A23" s="29" t="n">
        <v>20</v>
      </c>
      <c r="B23" s="25" t="s">
        <v>235</v>
      </c>
      <c r="C23" s="25" t="s">
        <v>194</v>
      </c>
      <c r="D23" s="29" t="s">
        <v>236</v>
      </c>
      <c r="E23" s="31" t="n">
        <v>2352664</v>
      </c>
      <c r="F23" s="39" t="n">
        <v>-50084</v>
      </c>
      <c r="G23" s="37" t="n">
        <v>-0.021288207750873</v>
      </c>
    </row>
    <row r="25" customFormat="false" ht="15" hidden="false" customHeight="false" outlineLevel="0" collapsed="false">
      <c r="A25" s="17" t="s">
        <v>104</v>
      </c>
      <c r="B25" s="17"/>
      <c r="C25" s="17"/>
      <c r="D25" s="17"/>
      <c r="E25" s="32" t="n">
        <f aca="false">SUM(E4:E23)</f>
        <v>51835237</v>
      </c>
      <c r="F25" s="32" t="n">
        <f aca="false">SUM(F4:F23)</f>
        <v>-3297424</v>
      </c>
      <c r="G25" s="17"/>
    </row>
    <row r="27" customFormat="false" ht="27.75" hidden="false" customHeight="true" outlineLevel="0" collapsed="false">
      <c r="A27" s="2" t="s">
        <v>3186</v>
      </c>
      <c r="B27" s="2"/>
      <c r="C27" s="2"/>
      <c r="D27" s="2"/>
      <c r="E27" s="2"/>
      <c r="F27" s="2"/>
      <c r="G27" s="2"/>
    </row>
    <row r="29" customFormat="false" ht="25.5" hidden="false" customHeight="true" outlineLevel="0" collapsed="false">
      <c r="A29" s="1" t="s">
        <v>3187</v>
      </c>
      <c r="B29" s="1"/>
      <c r="C29" s="1"/>
      <c r="D29" s="1"/>
      <c r="E29" s="1"/>
      <c r="F29" s="1"/>
      <c r="G29" s="1"/>
    </row>
    <row r="30" customFormat="false" ht="39.75" hidden="false" customHeight="true" outlineLevel="0" collapsed="false">
      <c r="A30" s="2" t="s">
        <v>3188</v>
      </c>
      <c r="B30" s="2"/>
      <c r="C30" s="2"/>
      <c r="D30" s="2"/>
      <c r="E30" s="2"/>
      <c r="F30" s="2"/>
      <c r="G30" s="2"/>
    </row>
    <row r="32" customFormat="false" ht="31.5" hidden="false" customHeight="true" outlineLevel="0" collapsed="false">
      <c r="A32" s="7" t="s">
        <v>3185</v>
      </c>
      <c r="B32" s="7" t="s">
        <v>133</v>
      </c>
      <c r="C32" s="7"/>
      <c r="D32" s="7"/>
      <c r="E32" s="7" t="s">
        <v>191</v>
      </c>
      <c r="F32" s="7" t="s">
        <v>192</v>
      </c>
      <c r="G32" s="7" t="s">
        <v>182</v>
      </c>
    </row>
    <row r="33" customFormat="false" ht="15" hidden="false" customHeight="false" outlineLevel="0" collapsed="false">
      <c r="A33" s="9" t="n">
        <v>1</v>
      </c>
      <c r="B33" s="9" t="s">
        <v>206</v>
      </c>
      <c r="C33" s="9"/>
      <c r="D33" s="9"/>
      <c r="E33" s="30" t="n">
        <v>14321091</v>
      </c>
      <c r="F33" s="30" t="n">
        <v>-163061</v>
      </c>
      <c r="G33" s="35" t="n">
        <v>-0.0113860738682548</v>
      </c>
    </row>
    <row r="34" customFormat="false" ht="15" hidden="false" customHeight="false" outlineLevel="0" collapsed="false">
      <c r="A34" s="29" t="n">
        <v>2</v>
      </c>
      <c r="B34" s="29" t="s">
        <v>1390</v>
      </c>
      <c r="C34" s="29"/>
      <c r="D34" s="29"/>
      <c r="E34" s="31" t="n">
        <v>1741863</v>
      </c>
      <c r="F34" s="31" t="n">
        <v>-51856</v>
      </c>
      <c r="G34" s="37" t="n">
        <v>-0.0297704239656046</v>
      </c>
    </row>
    <row r="35" customFormat="false" ht="15" hidden="false" customHeight="false" outlineLevel="0" collapsed="false">
      <c r="A35" s="9" t="n">
        <v>3</v>
      </c>
      <c r="B35" s="20" t="s">
        <v>226</v>
      </c>
      <c r="C35" s="20"/>
      <c r="D35" s="20"/>
      <c r="E35" s="30" t="n">
        <v>289080</v>
      </c>
      <c r="F35" s="30" t="n">
        <v>-15645</v>
      </c>
      <c r="G35" s="35" t="n">
        <v>-0.0541199667911996</v>
      </c>
    </row>
    <row r="36" customFormat="false" ht="15" hidden="false" customHeight="false" outlineLevel="0" collapsed="false">
      <c r="A36" s="29" t="n">
        <v>4</v>
      </c>
      <c r="B36" s="29" t="s">
        <v>1392</v>
      </c>
      <c r="C36" s="29"/>
      <c r="D36" s="29"/>
      <c r="E36" s="31" t="n">
        <v>29000</v>
      </c>
      <c r="F36" s="31" t="n">
        <v>-1740</v>
      </c>
      <c r="G36" s="37" t="n">
        <v>-0.06</v>
      </c>
    </row>
    <row r="37" customFormat="false" ht="15" hidden="false" customHeight="false" outlineLevel="0" collapsed="false">
      <c r="A37" s="9" t="n">
        <v>5</v>
      </c>
      <c r="B37" s="9" t="s">
        <v>3189</v>
      </c>
      <c r="C37" s="9"/>
      <c r="D37" s="9"/>
      <c r="E37" s="30" t="n">
        <v>2300</v>
      </c>
      <c r="F37" s="30" t="n">
        <v>345</v>
      </c>
      <c r="G37" s="35" t="n">
        <v>0.15</v>
      </c>
    </row>
    <row r="38" customFormat="false" ht="15" hidden="false" customHeight="false" outlineLevel="0" collapsed="false">
      <c r="A38" s="29" t="n">
        <v>6</v>
      </c>
      <c r="B38" s="29" t="s">
        <v>1539</v>
      </c>
      <c r="C38" s="29"/>
      <c r="D38" s="29"/>
      <c r="E38" s="31" t="n">
        <v>22098</v>
      </c>
      <c r="F38" s="31" t="n">
        <v>3315</v>
      </c>
      <c r="G38" s="37" t="n">
        <v>0.150013575889221</v>
      </c>
    </row>
    <row r="39" customFormat="false" ht="15" hidden="false" customHeight="false" outlineLevel="0" collapsed="false">
      <c r="A39" s="9" t="n">
        <v>7</v>
      </c>
      <c r="B39" s="9" t="s">
        <v>316</v>
      </c>
      <c r="C39" s="9"/>
      <c r="D39" s="9"/>
      <c r="E39" s="30" t="n">
        <v>26933</v>
      </c>
      <c r="F39" s="30" t="n">
        <v>4039</v>
      </c>
      <c r="G39" s="35" t="n">
        <v>0.149964727286229</v>
      </c>
    </row>
    <row r="40" customFormat="false" ht="15" hidden="false" customHeight="false" outlineLevel="0" collapsed="false">
      <c r="A40" s="29" t="n">
        <v>8</v>
      </c>
      <c r="B40" s="29" t="s">
        <v>2151</v>
      </c>
      <c r="C40" s="29"/>
      <c r="D40" s="29"/>
      <c r="E40" s="31" t="n">
        <v>19514</v>
      </c>
      <c r="F40" s="31" t="n">
        <v>4698</v>
      </c>
      <c r="G40" s="37" t="n">
        <v>0.240750230603669</v>
      </c>
    </row>
    <row r="41" customFormat="false" ht="15" hidden="false" customHeight="false" outlineLevel="0" collapsed="false">
      <c r="A41" s="9" t="n">
        <v>9</v>
      </c>
      <c r="B41" s="9" t="s">
        <v>2023</v>
      </c>
      <c r="C41" s="9"/>
      <c r="D41" s="9"/>
      <c r="E41" s="30" t="n">
        <v>31500</v>
      </c>
      <c r="F41" s="30" t="n">
        <v>4725</v>
      </c>
      <c r="G41" s="35" t="n">
        <v>0.15</v>
      </c>
    </row>
    <row r="42" customFormat="false" ht="15" hidden="false" customHeight="false" outlineLevel="0" collapsed="false">
      <c r="A42" s="29" t="n">
        <v>10</v>
      </c>
      <c r="B42" s="29" t="s">
        <v>1950</v>
      </c>
      <c r="C42" s="29"/>
      <c r="D42" s="29"/>
      <c r="E42" s="31" t="n">
        <v>14108</v>
      </c>
      <c r="F42" s="31" t="n">
        <v>7821</v>
      </c>
      <c r="G42" s="37" t="n">
        <v>0.554366316983272</v>
      </c>
    </row>
    <row r="43" customFormat="false" ht="15" hidden="false" customHeight="false" outlineLevel="0" collapsed="false">
      <c r="A43" s="9" t="n">
        <v>11</v>
      </c>
      <c r="B43" s="9" t="s">
        <v>2160</v>
      </c>
      <c r="C43" s="9"/>
      <c r="D43" s="9"/>
      <c r="E43" s="30" t="n">
        <v>44729</v>
      </c>
      <c r="F43" s="30" t="n">
        <v>8495</v>
      </c>
      <c r="G43" s="35" t="n">
        <v>0.189921527420689</v>
      </c>
    </row>
    <row r="44" customFormat="false" ht="15" hidden="false" customHeight="false" outlineLevel="0" collapsed="false">
      <c r="A44" s="29" t="n">
        <v>12</v>
      </c>
      <c r="B44" s="29" t="s">
        <v>1355</v>
      </c>
      <c r="C44" s="29"/>
      <c r="D44" s="29"/>
      <c r="E44" s="31" t="n">
        <v>60320</v>
      </c>
      <c r="F44" s="31" t="n">
        <v>9048</v>
      </c>
      <c r="G44" s="37" t="n">
        <v>0.15</v>
      </c>
    </row>
    <row r="45" customFormat="false" ht="15" hidden="false" customHeight="false" outlineLevel="0" collapsed="false">
      <c r="A45" s="9" t="n">
        <v>13</v>
      </c>
      <c r="B45" s="9" t="s">
        <v>3190</v>
      </c>
      <c r="C45" s="9"/>
      <c r="D45" s="9"/>
      <c r="E45" s="30" t="n">
        <v>64890</v>
      </c>
      <c r="F45" s="30" t="n">
        <v>9733</v>
      </c>
      <c r="G45" s="35" t="n">
        <v>0.149992294652489</v>
      </c>
    </row>
    <row r="46" customFormat="false" ht="15" hidden="false" customHeight="false" outlineLevel="0" collapsed="false">
      <c r="A46" s="29" t="n">
        <v>14</v>
      </c>
      <c r="B46" s="29" t="s">
        <v>1755</v>
      </c>
      <c r="C46" s="29"/>
      <c r="D46" s="29"/>
      <c r="E46" s="31" t="n">
        <v>14889</v>
      </c>
      <c r="F46" s="31" t="n">
        <v>11389</v>
      </c>
      <c r="G46" s="37" t="n">
        <v>0.764927127409497</v>
      </c>
    </row>
    <row r="47" customFormat="false" ht="15" hidden="false" customHeight="false" outlineLevel="0" collapsed="false">
      <c r="A47" s="9" t="n">
        <v>15</v>
      </c>
      <c r="B47" s="9" t="s">
        <v>1885</v>
      </c>
      <c r="C47" s="9"/>
      <c r="D47" s="9"/>
      <c r="E47" s="30" t="n">
        <v>28426</v>
      </c>
      <c r="F47" s="30" t="n">
        <v>13575</v>
      </c>
      <c r="G47" s="35" t="n">
        <v>0.477555758812355</v>
      </c>
    </row>
    <row r="48" customFormat="false" ht="15" hidden="false" customHeight="false" outlineLevel="0" collapsed="false">
      <c r="A48" s="29" t="n">
        <v>16</v>
      </c>
      <c r="B48" s="29" t="s">
        <v>2009</v>
      </c>
      <c r="C48" s="29"/>
      <c r="D48" s="29"/>
      <c r="E48" s="31" t="n">
        <v>37062</v>
      </c>
      <c r="F48" s="31" t="n">
        <v>19949</v>
      </c>
      <c r="G48" s="37" t="n">
        <v>0.538260212616696</v>
      </c>
    </row>
    <row r="49" customFormat="false" ht="15" hidden="false" customHeight="false" outlineLevel="0" collapsed="false">
      <c r="A49" s="9" t="n">
        <v>17</v>
      </c>
      <c r="B49" s="9" t="s">
        <v>1183</v>
      </c>
      <c r="C49" s="9"/>
      <c r="D49" s="9"/>
      <c r="E49" s="30" t="n">
        <v>92313</v>
      </c>
      <c r="F49" s="30" t="n">
        <v>22235</v>
      </c>
      <c r="G49" s="35" t="n">
        <v>0.240865316910944</v>
      </c>
    </row>
    <row r="50" customFormat="false" ht="15" hidden="false" customHeight="false" outlineLevel="0" collapsed="false">
      <c r="A50" s="29" t="n">
        <v>18</v>
      </c>
      <c r="B50" s="29" t="s">
        <v>646</v>
      </c>
      <c r="C50" s="29"/>
      <c r="D50" s="29"/>
      <c r="E50" s="31" t="n">
        <v>178255</v>
      </c>
      <c r="F50" s="31" t="n">
        <v>26738</v>
      </c>
      <c r="G50" s="37" t="n">
        <v>0.149998597514796</v>
      </c>
    </row>
    <row r="51" customFormat="false" ht="15" hidden="false" customHeight="false" outlineLevel="0" collapsed="false">
      <c r="A51" s="9" t="n">
        <v>19</v>
      </c>
      <c r="B51" s="9" t="s">
        <v>2841</v>
      </c>
      <c r="C51" s="9"/>
      <c r="D51" s="9"/>
      <c r="E51" s="30" t="n">
        <v>49607</v>
      </c>
      <c r="F51" s="30" t="n">
        <v>42140</v>
      </c>
      <c r="G51" s="35" t="n">
        <v>0.849476888342371</v>
      </c>
    </row>
    <row r="52" customFormat="false" ht="15" hidden="false" customHeight="false" outlineLevel="0" collapsed="false">
      <c r="A52" s="29" t="n">
        <v>20</v>
      </c>
      <c r="B52" s="29" t="s">
        <v>1652</v>
      </c>
      <c r="C52" s="29"/>
      <c r="D52" s="29"/>
      <c r="E52" s="31" t="n">
        <v>109735</v>
      </c>
      <c r="F52" s="31" t="n">
        <v>44728</v>
      </c>
      <c r="G52" s="37" t="n">
        <v>0.407600127580079</v>
      </c>
    </row>
    <row r="54" customFormat="false" ht="15" hidden="false" customHeight="false" outlineLevel="0" collapsed="false">
      <c r="A54" s="17" t="s">
        <v>104</v>
      </c>
      <c r="B54" s="17"/>
      <c r="C54" s="17"/>
      <c r="D54" s="17"/>
      <c r="E54" s="32" t="n">
        <f aca="false">SUM(E33:E52)</f>
        <v>17177713</v>
      </c>
      <c r="F54" s="32" t="n">
        <f aca="false">SUM(F33:F52)</f>
        <v>671</v>
      </c>
      <c r="G54" s="17"/>
    </row>
    <row r="56" customFormat="false" ht="42" hidden="false" customHeight="true" outlineLevel="0" collapsed="false">
      <c r="A56" s="28" t="s">
        <v>3191</v>
      </c>
      <c r="B56" s="28"/>
      <c r="C56" s="28"/>
      <c r="D56" s="28"/>
      <c r="E56" s="28"/>
      <c r="F56" s="28"/>
      <c r="G56" s="28"/>
    </row>
  </sheetData>
  <mergeCells count="27">
    <mergeCell ref="A1:G1"/>
    <mergeCell ref="A2:G2"/>
    <mergeCell ref="A27:G27"/>
    <mergeCell ref="A29:G29"/>
    <mergeCell ref="A30:G30"/>
    <mergeCell ref="B32:D32"/>
    <mergeCell ref="B33:D33"/>
    <mergeCell ref="B34:D34"/>
    <mergeCell ref="B35:D35"/>
    <mergeCell ref="B36:D36"/>
    <mergeCell ref="B37:D37"/>
    <mergeCell ref="B38:D38"/>
    <mergeCell ref="B39:D39"/>
    <mergeCell ref="B40:D40"/>
    <mergeCell ref="B41:D41"/>
    <mergeCell ref="B42:D42"/>
    <mergeCell ref="B43:D43"/>
    <mergeCell ref="B44:D44"/>
    <mergeCell ref="B45:D45"/>
    <mergeCell ref="B46:D46"/>
    <mergeCell ref="B47:D47"/>
    <mergeCell ref="B48:D48"/>
    <mergeCell ref="B49:D49"/>
    <mergeCell ref="B50:D50"/>
    <mergeCell ref="B51:D51"/>
    <mergeCell ref="B52:D52"/>
    <mergeCell ref="A56:G56"/>
  </mergeCells>
  <conditionalFormatting sqref="F33:F52">
    <cfRule type="cellIs" priority="2" operator="lessThan" aboveAverage="0" equalAverage="0" bottom="0" percent="0" rank="0" text="" dxfId="1">
      <formula>0</formula>
    </cfRule>
  </conditionalFormatting>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25.5" hidden="false" customHeight="true" outlineLevel="0" collapsed="false">
      <c r="A1" s="1" t="s">
        <v>3192</v>
      </c>
      <c r="B1" s="1"/>
      <c r="C1" s="1"/>
    </row>
    <row r="2" customFormat="false" ht="39.75" hidden="false" customHeight="true" outlineLevel="0" collapsed="false">
      <c r="A2" s="2" t="s">
        <v>3193</v>
      </c>
      <c r="B2" s="2"/>
      <c r="C2" s="2"/>
    </row>
    <row r="4" customFormat="false" ht="15" hidden="false" customHeight="false" outlineLevel="0" collapsed="false">
      <c r="A4" s="33" t="s">
        <v>171</v>
      </c>
    </row>
    <row r="5" customFormat="false" ht="45.75" hidden="false" customHeight="true" outlineLevel="0" collapsed="false">
      <c r="A5" s="34" t="s">
        <v>3194</v>
      </c>
      <c r="B5" s="34"/>
      <c r="C5" s="34"/>
    </row>
    <row r="6" customFormat="false" ht="61.5" hidden="false" customHeight="true" outlineLevel="0" collapsed="false">
      <c r="A6" s="34" t="s">
        <v>3195</v>
      </c>
      <c r="B6" s="34"/>
      <c r="C6" s="34"/>
    </row>
  </sheetData>
  <mergeCells count="4">
    <mergeCell ref="A1:C1"/>
    <mergeCell ref="A2:C2"/>
    <mergeCell ref="A5:C5"/>
    <mergeCell ref="A6:C6"/>
  </mergeCells>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A0497E483E2FBB40B0EC0D99970D07DA" ma:contentTypeVersion="11" ma:contentTypeDescription="新しいドキュメントを作成します。" ma:contentTypeScope="" ma:versionID="91106ebf33de768d5bf6bbfb09ce4ab5">
  <xsd:schema xmlns:xsd="http://www.w3.org/2001/XMLSchema" xmlns:xs="http://www.w3.org/2001/XMLSchema" xmlns:p="http://schemas.microsoft.com/office/2006/metadata/properties" xmlns:ns2="04622db1-03ff-4568-b0a4-70f1df12a0a2" xmlns:ns3="6f5c2099-ee25-4a19-ac7d-00d420474567" targetNamespace="http://schemas.microsoft.com/office/2006/metadata/properties" ma:root="true" ma:fieldsID="5099fd6570a3656cc03307333a45e72e" ns2:_="" ns3:_="">
    <xsd:import namespace="04622db1-03ff-4568-b0a4-70f1df12a0a2"/>
    <xsd:import namespace="6f5c2099-ee25-4a19-ac7d-00d42047456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622db1-03ff-4568-b0a4-70f1df12a0a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9a3eaaf0-5b43-440a-841f-c1915cee5f76"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f5c2099-ee25-4a19-ac7d-00d42047456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baddfd1-469f-4f2e-9d4d-9e7921552ab4}" ma:internalName="TaxCatchAll" ma:showField="CatchAllData" ma:web="6f5c2099-ee25-4a19-ac7d-00d42047456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4622db1-03ff-4568-b0a4-70f1df12a0a2">
      <Terms xmlns="http://schemas.microsoft.com/office/infopath/2007/PartnerControls"/>
    </lcf76f155ced4ddcb4097134ff3c332f>
    <TaxCatchAll xmlns="6f5c2099-ee25-4a19-ac7d-00d420474567" xsi:nil="true"/>
  </documentManagement>
</p:properties>
</file>

<file path=customXml/itemProps1.xml><?xml version="1.0" encoding="utf-8"?>
<ds:datastoreItem xmlns:ds="http://schemas.openxmlformats.org/officeDocument/2006/customXml" ds:itemID="{363FA481-4895-41D2-8B53-4A9B46A1BB12}"/>
</file>

<file path=customXml/itemProps2.xml><?xml version="1.0" encoding="utf-8"?>
<ds:datastoreItem xmlns:ds="http://schemas.openxmlformats.org/officeDocument/2006/customXml" ds:itemID="{FC02DDC6-4499-4B5A-A537-87EBAFE6E13E}"/>
</file>

<file path=customXml/itemProps3.xml><?xml version="1.0" encoding="utf-8"?>
<ds:datastoreItem xmlns:ds="http://schemas.openxmlformats.org/officeDocument/2006/customXml" ds:itemID="{98D08B2B-42F3-46F5-87D3-F5D8DC0E26CB}"/>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
  <cp:revision>0</cp:revision>
  <dcterms:created xsi:type="dcterms:W3CDTF">2026-08-31T01:54:55Z</dcterms:created>
  <dcterms:modified xsi:type="dcterms:W3CDTF">2026-08-31T01:54:57Z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0x010100A0497E483E2FBB40B0EC0D99970D07DA</vt:lpwstr>
  </property>
</Properties>
</file>